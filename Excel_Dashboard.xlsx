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C5F53293-DCA7-42F2-8DEA-B11A7BA38016}" xr6:coauthVersionLast="47" xr6:coauthVersionMax="47" xr10:uidLastSave="{00000000-0000-0000-0000-000000000000}"/>
  <bookViews>
    <workbookView xWindow="-120" yWindow="-120" windowWidth="19335" windowHeight="11760" xr2:uid="{00000000-000D-0000-FFFF-FFFF00000000}"/>
  </bookViews>
  <sheets>
    <sheet name="Dashboard" sheetId="3" r:id="rId1"/>
    <sheet name="Patient_Data" sheetId="1" r:id="rId2"/>
    <sheet name="KPI_Summary" sheetId="5" r:id="rId3"/>
    <sheet name="Summary_Breakdown" sheetId="2" r:id="rId4"/>
    <sheet name="PivotChart_CostCategory" sheetId="6" r:id="rId5"/>
    <sheet name="PivotChart_AgeDept" sheetId="7" r:id="rId6"/>
  </sheets>
  <definedNames>
    <definedName name="_xlchart.v1.0" hidden="1">PivotChart_AgeDept!$A$4:$A$11</definedName>
    <definedName name="_xlchart.v1.1" hidden="1">PivotChart_AgeDept!$B$4:$B$11</definedName>
    <definedName name="_xlchart.v2.2" hidden="1">Summary_Breakdown!$A$10:$A$13</definedName>
    <definedName name="_xlchart.v2.3" hidden="1">Summary_Breakdown!$B$10:$B$13</definedName>
    <definedName name="Slicer_Department">#N/A</definedName>
    <definedName name="Slicer_Doctor_Name">#N/A</definedName>
    <definedName name="Slicer_Gender">#N/A</definedName>
    <definedName name="Slicer_Treatment_Type">#N/A</definedName>
  </definedNames>
  <calcPr calcId="191029"/>
  <pivotCaches>
    <pivotCache cacheId="0" r:id="rId7"/>
    <pivotCache cacheId="1" r:id="rId8"/>
    <pivotCache cacheId="9"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alcChain>
</file>

<file path=xl/sharedStrings.xml><?xml version="1.0" encoding="utf-8"?>
<sst xmlns="http://schemas.openxmlformats.org/spreadsheetml/2006/main" count="2582" uniqueCount="554">
  <si>
    <t>Patient ID</t>
  </si>
  <si>
    <t>Age</t>
  </si>
  <si>
    <t>Gender</t>
  </si>
  <si>
    <t>Department</t>
  </si>
  <si>
    <t>Doctor Name</t>
  </si>
  <si>
    <t>Treatment Type</t>
  </si>
  <si>
    <t>Treatment Cost</t>
  </si>
  <si>
    <t>Recovery Score</t>
  </si>
  <si>
    <t>P001</t>
  </si>
  <si>
    <t>Male</t>
  </si>
  <si>
    <t>Neurology</t>
  </si>
  <si>
    <t>Dr. R. Singh</t>
  </si>
  <si>
    <t>Medication</t>
  </si>
  <si>
    <t>P002</t>
  </si>
  <si>
    <t>Female</t>
  </si>
  <si>
    <t>Gastroenterology</t>
  </si>
  <si>
    <t>Dr. L. Khan</t>
  </si>
  <si>
    <t>P003</t>
  </si>
  <si>
    <t>Dr. M. Patel</t>
  </si>
  <si>
    <t>Therapy</t>
  </si>
  <si>
    <t>P004</t>
  </si>
  <si>
    <t>Cardiology</t>
  </si>
  <si>
    <t>P005</t>
  </si>
  <si>
    <t>Pediatrics</t>
  </si>
  <si>
    <t>Dr. A. Sharma</t>
  </si>
  <si>
    <t>P006</t>
  </si>
  <si>
    <t>Orthopedics</t>
  </si>
  <si>
    <t>Observation</t>
  </si>
  <si>
    <t>P007</t>
  </si>
  <si>
    <t>P008</t>
  </si>
  <si>
    <t>P009</t>
  </si>
  <si>
    <t>Dr. T. Mehta</t>
  </si>
  <si>
    <t>Surgery</t>
  </si>
  <si>
    <t>P010</t>
  </si>
  <si>
    <t>P011</t>
  </si>
  <si>
    <t>P012</t>
  </si>
  <si>
    <t>Oncology</t>
  </si>
  <si>
    <t>P013</t>
  </si>
  <si>
    <t>P014</t>
  </si>
  <si>
    <t>P015</t>
  </si>
  <si>
    <t>P016</t>
  </si>
  <si>
    <t>Other</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</si>
  <si>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</si>
  <si>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</si>
  <si>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</si>
  <si>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</si>
  <si>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</si>
  <si>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</si>
  <si>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</si>
  <si>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</si>
  <si>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</si>
  <si>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</si>
  <si>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</si>
  <si>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</si>
  <si>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</si>
  <si>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</si>
  <si>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</si>
  <si>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</si>
  <si>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</si>
  <si>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</si>
  <si>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</si>
  <si>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</si>
  <si>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</si>
  <si>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</si>
  <si>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</si>
  <si>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</si>
  <si>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</si>
  <si>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</si>
  <si>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</si>
  <si>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</si>
  <si>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</si>
  <si>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</si>
  <si>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</si>
  <si>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</si>
  <si>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</si>
  <si>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</si>
  <si>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</si>
  <si>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</si>
  <si>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</si>
  <si>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</si>
  <si>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</si>
  <si>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</si>
  <si>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</si>
  <si>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</si>
  <si>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</si>
  <si>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</si>
  <si>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</si>
  <si>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</si>
  <si>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</si>
  <si>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</si>
  <si>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</si>
  <si>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</si>
  <si>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</si>
  <si>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</si>
  <si>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</si>
  <si>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</si>
  <si>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</si>
  <si>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</si>
  <si>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</si>
  <si>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</si>
  <si>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</si>
  <si>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</si>
  <si>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</si>
  <si>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</si>
  <si>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</si>
  <si>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</si>
  <si>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</si>
  <si>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</si>
  <si>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</si>
  <si>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</si>
  <si>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</si>
  <si>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</si>
  <si>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</si>
  <si>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</si>
  <si>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</si>
  <si>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</si>
  <si>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</si>
  <si>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</si>
  <si>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</si>
  <si>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</si>
  <si>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</si>
  <si>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</si>
  <si>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</si>
  <si>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</si>
  <si>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</si>
  <si>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</si>
  <si>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</si>
  <si>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</si>
  <si>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</si>
  <si>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</si>
  <si>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</si>
  <si>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</si>
  <si>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</si>
  <si>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</si>
  <si>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</si>
  <si>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</si>
  <si>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</si>
  <si>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</si>
  <si>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</si>
  <si>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</si>
  <si>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</si>
  <si>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</si>
  <si>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</si>
  <si>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</si>
  <si>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</si>
  <si>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</si>
  <si>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</si>
  <si>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</si>
  <si>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</si>
  <si>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</si>
  <si>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</si>
  <si>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</si>
  <si>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</si>
  <si>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</si>
  <si>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</si>
  <si>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</si>
  <si>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</si>
  <si>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</si>
  <si>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</si>
  <si>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</si>
  <si>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</si>
  <si>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</si>
  <si>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</si>
  <si>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</si>
  <si>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</si>
  <si>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</si>
  <si>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</si>
  <si>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</si>
  <si>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</si>
  <si>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</si>
  <si>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</si>
  <si>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</si>
  <si>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</si>
  <si>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</si>
  <si>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</si>
  <si>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</si>
  <si>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</si>
  <si>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</si>
  <si>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</si>
  <si>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</si>
  <si>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</si>
  <si>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</si>
  <si>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</si>
  <si>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</si>
  <si>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</si>
  <si>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</si>
  <si>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</si>
  <si>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</si>
  <si>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</si>
  <si>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</si>
  <si>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</si>
  <si>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</si>
  <si>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</si>
  <si>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</si>
  <si>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</si>
  <si>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</si>
  <si>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</si>
  <si>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</si>
  <si>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</si>
  <si>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</si>
  <si>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</si>
  <si>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</si>
  <si>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</si>
  <si>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</si>
  <si>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</si>
  <si>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</si>
  <si>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</si>
  <si>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</si>
  <si>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</si>
  <si>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</si>
  <si>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</si>
  <si>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</si>
  <si>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</si>
  <si>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</si>
  <si>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</si>
  <si>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</si>
  <si>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</si>
  <si>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</si>
  <si>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</si>
  <si>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</si>
  <si>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</si>
  <si>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</si>
  <si>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</si>
  <si>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</si>
  <si>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</si>
  <si>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</si>
  <si>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</si>
  <si>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</si>
  <si>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</si>
  <si>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</si>
  <si>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</si>
  <si>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</si>
  <si>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</si>
  <si>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</si>
  <si>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</si>
  <si>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</si>
  <si>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</si>
  <si>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</si>
  <si>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</si>
  <si>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</si>
  <si>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</si>
  <si>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</si>
  <si>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</si>
  <si>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</si>
  <si>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</si>
  <si>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</si>
  <si>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</si>
  <si>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</si>
  <si>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</si>
  <si>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</si>
  <si>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</si>
  <si>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</si>
  <si>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</si>
  <si>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</si>
  <si>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</si>
  <si>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</si>
  <si>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</si>
  <si>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</si>
  <si>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</si>
  <si>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</si>
  <si>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</si>
  <si>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</si>
  <si>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</si>
  <si>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</si>
  <si>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</si>
  <si>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</si>
  <si>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</si>
  <si>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</si>
  <si>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</si>
  <si>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</si>
  <si>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</si>
  <si>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</si>
  <si>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</si>
  <si>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</si>
  <si>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</si>
  <si>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</si>
  <si>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</si>
  <si>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</si>
  <si>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</si>
  <si>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</si>
  <si>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</si>
  <si>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</si>
  <si>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</si>
  <si>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</si>
  <si>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</si>
  <si>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</si>
  <si>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</si>
  <si>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</si>
  <si>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</si>
  <si>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</si>
  <si>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</si>
  <si>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</si>
  <si>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</si>
  <si>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</si>
  <si>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</si>
  <si>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</si>
  <si>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</si>
  <si>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</si>
  <si>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</si>
  <si>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</si>
  <si>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</si>
  <si>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</si>
  <si>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</si>
  <si>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</si>
  <si>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</si>
  <si>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</si>
  <si>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</si>
  <si>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</si>
  <si>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</si>
  <si>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</si>
  <si>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</si>
  <si>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</si>
  <si>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</si>
  <si>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</si>
  <si>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</si>
  <si>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</si>
  <si>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</si>
  <si>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</si>
  <si>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</si>
  <si>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</si>
  <si>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</si>
  <si>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</si>
  <si>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</si>
  <si>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</si>
  <si>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</si>
  <si>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</si>
  <si>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</si>
  <si>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</si>
  <si>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</si>
  <si>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</si>
  <si>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</si>
  <si>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</si>
  <si>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</si>
  <si>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</si>
  <si>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</si>
  <si>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</si>
  <si>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</si>
  <si>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</si>
  <si>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</si>
  <si>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</si>
  <si>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</si>
  <si>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</si>
  <si>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</si>
  <si>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</si>
  <si>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</si>
  <si>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</si>
  <si>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</si>
  <si>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</si>
  <si>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</si>
  <si>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</si>
  <si>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</si>
  <si>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</si>
  <si>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</si>
  <si>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</si>
  <si>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</si>
  <si>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</si>
  <si>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</si>
  <si>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</si>
  <si>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</si>
  <si>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</si>
  <si>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</si>
  <si>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</si>
  <si>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</si>
  <si>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</si>
  <si>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</si>
  <si>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</si>
  <si>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</si>
  <si>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</si>
  <si>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</si>
  <si>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</si>
  <si>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</si>
  <si>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</si>
  <si>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</si>
  <si>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</si>
  <si>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</si>
  <si>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</si>
  <si>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</si>
  <si>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</si>
  <si>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</si>
  <si>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</si>
  <si>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</si>
  <si>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</si>
  <si>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</si>
  <si>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</si>
  <si>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</si>
  <si>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</si>
  <si>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</si>
  <si>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</si>
  <si>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</si>
  <si>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</si>
  <si>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</si>
  <si>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</si>
  <si>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</si>
  <si>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</si>
  <si>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</si>
  <si>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</si>
  <si>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</si>
  <si>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</si>
  <si>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</si>
  <si>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</si>
  <si>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</si>
  <si>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</si>
  <si>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</si>
  <si>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</si>
  <si>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</si>
  <si>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</si>
  <si>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</si>
  <si>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</si>
  <si>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</si>
  <si>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</si>
  <si>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</si>
  <si>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</si>
  <si>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</si>
  <si>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</si>
  <si>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</si>
  <si>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</si>
  <si>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</si>
  <si>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</si>
  <si>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</si>
  <si>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</si>
  <si>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</si>
  <si>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</si>
  <si>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</si>
  <si>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</si>
  <si>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</si>
  <si>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</si>
  <si>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</si>
  <si>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</si>
  <si>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</si>
  <si>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</si>
  <si>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</si>
  <si>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</si>
  <si>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</si>
  <si>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</si>
  <si>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</si>
  <si>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</si>
  <si>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</si>
  <si>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</si>
  <si>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</si>
  <si>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</si>
  <si>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</si>
  <si>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</si>
  <si>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</si>
  <si>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</si>
  <si>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</si>
  <si>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</si>
  <si>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</si>
  <si>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</si>
  <si>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</si>
  <si>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</si>
  <si>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</si>
  <si>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</si>
  <si>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</si>
  <si>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</si>
  <si>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</si>
  <si>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</si>
  <si>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</si>
  <si>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</si>
  <si>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</si>
  <si>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</si>
  <si>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</si>
  <si>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</si>
  <si>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</si>
  <si>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</si>
  <si>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</si>
  <si>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</si>
  <si>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</si>
  <si>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</si>
  <si>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</si>
  <si>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</si>
  <si>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</si>
  <si>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</si>
  <si>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</si>
  <si>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</si>
  <si>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</si>
  <si>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</si>
  <si>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</si>
  <si>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</si>
  <si>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</si>
  <si>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</si>
  <si>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</si>
  <si>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</si>
  <si>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</si>
  <si>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</si>
  <si>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</si>
  <si>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</si>
  <si>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</si>
  <si>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</si>
  <si>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</si>
  <si>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</si>
  <si>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</si>
  <si>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</si>
  <si>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</si>
  <si>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</si>
  <si>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</si>
  <si>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</si>
  <si>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</si>
  <si>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</si>
  <si>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</si>
  <si>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</si>
  <si>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</si>
  <si>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</si>
  <si>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</si>
  <si>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</si>
  <si>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</si>
  <si>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</si>
  <si>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</si>
  <si>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</si>
  <si>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</si>
  <si>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</si>
  <si>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</si>
  <si>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</si>
  <si>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</si>
  <si>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</si>
  <si>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</si>
  <si>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</si>
  <si>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</si>
  <si>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</si>
  <si>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</si>
  <si>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</si>
  <si>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</si>
  <si>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</si>
  <si>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</si>
  <si>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</si>
  <si>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</si>
  <si>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</si>
  <si>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Hospital Stay (Days)</t>
  </si>
  <si>
    <t>Average of Recovery Score</t>
  </si>
  <si>
    <t>Grand Total</t>
  </si>
  <si>
    <t>Avg Recovery Score</t>
  </si>
  <si>
    <t>Patients Count</t>
  </si>
  <si>
    <t>Average of Treatment Cost</t>
  </si>
  <si>
    <t>Average of Age</t>
  </si>
  <si>
    <t>Average of Hospital Stay (Days)</t>
  </si>
  <si>
    <t>Cost Category</t>
  </si>
  <si>
    <t>Row Labels</t>
  </si>
  <si>
    <t>High Cost</t>
  </si>
  <si>
    <t>Low Cost</t>
  </si>
  <si>
    <t>Age Group</t>
  </si>
  <si>
    <t>Adult</t>
  </si>
  <si>
    <t>Child</t>
  </si>
  <si>
    <t>Elderly</t>
  </si>
  <si>
    <t>Infant / Toddler</t>
  </si>
  <si>
    <t>Middle-aged</t>
  </si>
  <si>
    <t>Senior</t>
  </si>
  <si>
    <t>Teenager</t>
  </si>
  <si>
    <t>Young Adult</t>
  </si>
  <si>
    <t>Average Recovery Score</t>
  </si>
  <si>
    <t>Min of Recovery Score</t>
  </si>
  <si>
    <t>StdDev of Recovery Score</t>
  </si>
  <si>
    <t>By Gender</t>
  </si>
  <si>
    <t>By Treatment Type</t>
  </si>
  <si>
    <t>By Department</t>
  </si>
  <si>
    <t>By Doctor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</si>
</sst>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0" fillId="0" borderId="0" xfId="0" applyAlignment="1">
      <alignment horizontal="right"/>
    </xf>
    <xf numFmtId="0" fontId="1" fillId="2" borderId="2" xfId="0" applyFont="1" applyFill="1" applyBorder="1" applyAlignment="1">
      <alignment horizontal="center"/>
    </xf>
    <xf numFmtId="0" fontId="0" fillId="0" borderId="1" xfId="0" applyBorder="1" applyAlignment="1">
      <alignment horizontal="right"/>
    </xf>
    <xf numFmtId="2" fontId="0" fillId="0" borderId="0" xfId="0" applyNumberFormat="1"/>
    <xf numFmtId="0" fontId="0" fillId="0" borderId="0" xfId="0" applyAlignment="1">
      <alignment horizontal="left"/>
    </xf>
    <xf numFmtId="0" fontId="0" fillId="0" borderId="0" xfId="0" pivotButton="1"/>
    <xf numFmtId="164" fontId="0" fillId="0" borderId="1" xfId="0" applyNumberFormat="1" applyBorder="1" applyAlignment="1">
      <alignment horizontal="right"/>
    </xf>
    <xf numFmtId="0" fontId="0" fillId="0" borderId="0" xfId="0" applyNumberFormat="1"/>
  </cellXfs>
  <cellStyles count="1">
    <cellStyle name="Normal" xfId="0" builtinId="0"/>
  </cellStyles>
  <dxfs count="0"/>
  <tableStyles count="1" defaultTableStyle="TableStyleMedium9" defaultPivotStyle="PivotStyleLight16">
    <tableStyle name="SlideScopeSlicer Style 1" pivot="0" table="0" count="8" xr9:uid="{C90A734B-F0C9-4754-AD39-95C19B7DC057}"/>
  </tableStyles>
  <colors>
    <mruColors>
      <color rgb="FF1C544A"/>
      <color rgb="FF94DCCE"/>
      <color rgb="FFAEE4DA"/>
    </mruColors>
  </colors>
  <extLst>
    <ext xmlns:x14="http://schemas.microsoft.com/office/spreadsheetml/2009/9/main" uri="{46F421CA-312F-682f-3DD2-61675219B42D}">
      <x14:dxfs count="8">
        <dxf>
          <fill>
            <patternFill>
              <bgColor theme="9"/>
            </patternFill>
          </fill>
        </dxf>
        <dxf>
          <fill>
            <patternFill>
              <bgColor theme="9"/>
            </patternFill>
          </fill>
        </dxf>
        <dxf>
          <fill>
            <patternFill>
              <bgColor theme="9"/>
            </patternFill>
          </fill>
        </dxf>
        <dxf>
          <fill>
            <patternFill>
              <bgColor theme="9"/>
            </patternFill>
          </fill>
        </dxf>
        <dxf>
          <fill>
            <patternFill>
              <fgColor rgb="FF1C544A"/>
              <bgColor rgb="FF94DCCE"/>
            </patternFill>
          </fill>
        </dxf>
        <dxf>
          <fill>
            <patternFill>
              <fgColor rgb="FF1C544A"/>
              <bgColor rgb="FF1C544A"/>
            </patternFill>
          </fill>
        </dxf>
        <dxf>
          <fill>
            <patternFill>
              <fgColor theme="0" tint="-0.34998626667073579"/>
              <bgColor theme="0" tint="-0.34998626667073579"/>
            </patternFill>
          </fill>
        </dxf>
        <dxf>
          <fill>
            <patternFill patternType="solid">
              <fgColor theme="0" tint="-0.34998626667073579"/>
              <bgColor theme="0" tint="-0.34998626667073579"/>
            </patternFill>
          </fill>
        </dxf>
      </x14:dxfs>
    </ext>
    <ext xmlns:x14="http://schemas.microsoft.com/office/spreadsheetml/2009/9/main" uri="{EB79DEF2-80B8-43e5-95BD-54CBDDF9020C}">
      <x14:slicerStyles defaultSlicerStyle="SlicerStyleLight1">
        <x14:slicerStyle name="SlideScop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[Hospital_Patient_Analytics_Dashboard.xlsx]Summary_Breakdown!PivotTable4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15551690754151"/>
          <c:y val="0.14249781277340332"/>
          <c:w val="0.54940323701624605"/>
          <c:h val="0.75010279965004378"/>
        </c:manualLayout>
      </c:layout>
      <c:bar3DChart>
        <c:barDir val="bar"/>
        <c:grouping val="clustered"/>
        <c:varyColors val="0"/>
        <c:ser>
          <c:idx val="0"/>
          <c:order val="0"/>
          <c:tx>
            <c:strRef>
              <c:f>Summary_Breakdown!$B$9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Summary_Breakdown!$A$10:$A$14</c:f>
              <c:strCache>
                <c:ptCount val="4"/>
                <c:pt idx="0">
                  <c:v>Medication</c:v>
                </c:pt>
                <c:pt idx="1">
                  <c:v>Observation</c:v>
                </c:pt>
                <c:pt idx="2">
                  <c:v>Surgery</c:v>
                </c:pt>
                <c:pt idx="3">
                  <c:v>Therapy</c:v>
                </c:pt>
              </c:strCache>
            </c:strRef>
          </c:cat>
          <c:val>
            <c:numRef>
              <c:f>Summary_Breakdown!$B$10:$B$14</c:f>
              <c:numCache>
                <c:formatCode>0.00</c:formatCode>
                <c:ptCount val="4"/>
                <c:pt idx="0">
                  <c:v>72.057142857142864</c:v>
                </c:pt>
                <c:pt idx="1">
                  <c:v>73.297520661157023</c:v>
                </c:pt>
                <c:pt idx="2">
                  <c:v>74.540740740740745</c:v>
                </c:pt>
                <c:pt idx="3">
                  <c:v>73.064748201438846</c:v>
                </c:pt>
              </c:numCache>
            </c:numRef>
          </c:val>
          <c:extLst>
            <c:ext xmlns:c16="http://schemas.microsoft.com/office/drawing/2014/chart" uri="{C3380CC4-5D6E-409C-BE32-E72D297353CC}">
              <c16:uniqueId val="{00000000-7F36-45A7-AF03-957B3D91C03B}"/>
            </c:ext>
          </c:extLst>
        </c:ser>
        <c:dLbls>
          <c:showLegendKey val="0"/>
          <c:showVal val="0"/>
          <c:showCatName val="0"/>
          <c:showSerName val="0"/>
          <c:showPercent val="0"/>
          <c:showBubbleSize val="0"/>
        </c:dLbls>
        <c:gapWidth val="150"/>
        <c:shape val="box"/>
        <c:axId val="610705848"/>
        <c:axId val="610706568"/>
        <c:axId val="0"/>
      </c:bar3DChart>
      <c:catAx>
        <c:axId val="6107058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610706568"/>
        <c:crosses val="autoZero"/>
        <c:auto val="1"/>
        <c:lblAlgn val="ctr"/>
        <c:lblOffset val="100"/>
        <c:noMultiLvlLbl val="0"/>
      </c:catAx>
      <c:valAx>
        <c:axId val="6107065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05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27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[Hospital_Patient_Analytics_Dashboard.xlsx]Summary_Breakdown!PivotTable2</c:name>
    <c:fmtId val="1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8"/>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710967719470561"/>
          <c:y val="0.20122926316311013"/>
          <c:w val="0.56051586169964318"/>
          <c:h val="0.69042209286804779"/>
        </c:manualLayout>
      </c:layout>
      <c:doughnutChart>
        <c:varyColors val="1"/>
        <c:ser>
          <c:idx val="0"/>
          <c:order val="0"/>
          <c:tx>
            <c:strRef>
              <c:f>Summary_Breakdown!$B$17</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A3A-475D-855F-66528F8087A6}"/>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A3A-475D-855F-66528F8087A6}"/>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A3A-475D-855F-66528F8087A6}"/>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Summary_Breakdown!$A$18:$A$24</c:f>
              <c:strCache>
                <c:ptCount val="6"/>
                <c:pt idx="0">
                  <c:v>Cardiology</c:v>
                </c:pt>
                <c:pt idx="1">
                  <c:v>Gastroenterology</c:v>
                </c:pt>
                <c:pt idx="2">
                  <c:v>Neurology</c:v>
                </c:pt>
                <c:pt idx="3">
                  <c:v>Oncology</c:v>
                </c:pt>
                <c:pt idx="4">
                  <c:v>Orthopedics</c:v>
                </c:pt>
                <c:pt idx="5">
                  <c:v>Pediatrics</c:v>
                </c:pt>
              </c:strCache>
            </c:strRef>
          </c:cat>
          <c:val>
            <c:numRef>
              <c:f>Summary_Breakdown!$B$18:$B$24</c:f>
              <c:numCache>
                <c:formatCode>0.00</c:formatCode>
                <c:ptCount val="6"/>
                <c:pt idx="0">
                  <c:v>75.658227848101262</c:v>
                </c:pt>
                <c:pt idx="1">
                  <c:v>71.518518518518519</c:v>
                </c:pt>
                <c:pt idx="2">
                  <c:v>72.202380952380949</c:v>
                </c:pt>
                <c:pt idx="3">
                  <c:v>74.361111111111114</c:v>
                </c:pt>
                <c:pt idx="4">
                  <c:v>74.021052631578954</c:v>
                </c:pt>
                <c:pt idx="5">
                  <c:v>72.280898876404493</c:v>
                </c:pt>
              </c:numCache>
            </c:numRef>
          </c:val>
          <c:extLst>
            <c:ext xmlns:c16="http://schemas.microsoft.com/office/drawing/2014/chart" uri="{C3380CC4-5D6E-409C-BE32-E72D297353CC}">
              <c16:uniqueId val="{00000006-6A3A-475D-855F-66528F8087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2700000" algn="t" rotWithShape="0">
        <a:prstClr val="black">
          <a:alpha val="40000"/>
        </a:prstClr>
      </a:outerShdw>
      <a:softEdge rad="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[Hospital_Patient_Analytics_Dashboard.xlsx]PivotChart_CostCategory!PivotTable7</c:name>
    <c:fmtId val="6"/>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PivotChart_CostCategory!$B$3</c:f>
              <c:strCache>
                <c:ptCount val="1"/>
                <c:pt idx="0">
                  <c:v>Total</c:v>
                </c:pt>
              </c:strCache>
            </c:strRef>
          </c:tx>
          <c:dPt>
            <c:idx val="0"/>
            <c:bubble3D val="0"/>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7E1-4BF6-9C95-7BEB9BF2E435}"/>
              </c:ext>
            </c:extLst>
          </c:dPt>
          <c:dPt>
            <c:idx val="1"/>
            <c:bubble3D val="0"/>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7E1-4BF6-9C95-7BEB9BF2E4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PivotChart_CostCategory!$A$4:$A$6</c:f>
              <c:strCache>
                <c:ptCount val="2"/>
                <c:pt idx="0">
                  <c:v>High Cost</c:v>
                </c:pt>
                <c:pt idx="1">
                  <c:v>Low Cost</c:v>
                </c:pt>
              </c:strCache>
            </c:strRef>
          </c:cat>
          <c:val>
            <c:numRef>
              <c:f>PivotChart_CostCategory!$B$4:$B$6</c:f>
              <c:numCache>
                <c:formatCode>0.00</c:formatCode>
                <c:ptCount val="2"/>
                <c:pt idx="0">
                  <c:v>72.592592592592595</c:v>
                </c:pt>
                <c:pt idx="1">
                  <c:v>75.52459016393442</c:v>
                </c:pt>
              </c:numCache>
            </c:numRef>
          </c:val>
          <c:extLst>
            <c:ext xmlns:c16="http://schemas.microsoft.com/office/drawing/2014/chart" uri="{C3380CC4-5D6E-409C-BE32-E72D297353CC}">
              <c16:uniqueId val="{00000004-37E1-4BF6-9C95-7BEB9BF2E4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27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[Hospital_Patient_Analytics_Dashboard.xlsx]PivotChart_AgeDept!PivotTable9</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219816272965874E-2"/>
          <c:y val="0.14249781277340332"/>
          <c:w val="0.85852501576809481"/>
          <c:h val="0.46351961213181686"/>
        </c:manualLayout>
      </c:layout>
      <c:bar3DChart>
        <c:barDir val="col"/>
        <c:grouping val="clustered"/>
        <c:varyColors val="0"/>
        <c:ser>
          <c:idx val="0"/>
          <c:order val="0"/>
          <c:tx>
            <c:strRef>
              <c:f>PivotChart_AgeDept!$H$3</c:f>
              <c:strCache>
                <c:ptCount val="1"/>
                <c:pt idx="0">
                  <c:v>Average Recovery Score</c:v>
                </c:pt>
              </c:strCache>
            </c:strRef>
          </c:tx>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PivotChart_AgeDept!$G$4:$G$10</c:f>
              <c:strCache>
                <c:ptCount val="6"/>
                <c:pt idx="0">
                  <c:v>Cardiology</c:v>
                </c:pt>
                <c:pt idx="1">
                  <c:v>Gastroenterology</c:v>
                </c:pt>
                <c:pt idx="2">
                  <c:v>Neurology</c:v>
                </c:pt>
                <c:pt idx="3">
                  <c:v>Oncology</c:v>
                </c:pt>
                <c:pt idx="4">
                  <c:v>Orthopedics</c:v>
                </c:pt>
                <c:pt idx="5">
                  <c:v>Pediatrics</c:v>
                </c:pt>
              </c:strCache>
            </c:strRef>
          </c:cat>
          <c:val>
            <c:numRef>
              <c:f>PivotChart_AgeDept!$H$4:$H$10</c:f>
              <c:numCache>
                <c:formatCode>0.00</c:formatCode>
                <c:ptCount val="6"/>
                <c:pt idx="0">
                  <c:v>75.658227848101262</c:v>
                </c:pt>
                <c:pt idx="1">
                  <c:v>71.518518518518519</c:v>
                </c:pt>
                <c:pt idx="2">
                  <c:v>72.202380952380949</c:v>
                </c:pt>
                <c:pt idx="3">
                  <c:v>74.361111111111114</c:v>
                </c:pt>
                <c:pt idx="4">
                  <c:v>74.021052631578954</c:v>
                </c:pt>
                <c:pt idx="5">
                  <c:v>72.280898876404493</c:v>
                </c:pt>
              </c:numCache>
            </c:numRef>
          </c:val>
          <c:extLst>
            <c:ext xmlns:c16="http://schemas.microsoft.com/office/drawing/2014/chart" uri="{C3380CC4-5D6E-409C-BE32-E72D297353CC}">
              <c16:uniqueId val="{00000000-CA93-4D20-B817-014F52D89E1E}"/>
            </c:ext>
          </c:extLst>
        </c:ser>
        <c:ser>
          <c:idx val="1"/>
          <c:order val="1"/>
          <c:tx>
            <c:strRef>
              <c:f>PivotChart_AgeDept!$I$3</c:f>
              <c:strCache>
                <c:ptCount val="1"/>
                <c:pt idx="0">
                  <c:v>Min of Recovery Score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PivotChart_AgeDept!$G$4:$G$10</c:f>
              <c:strCache>
                <c:ptCount val="6"/>
                <c:pt idx="0">
                  <c:v>Cardiology</c:v>
                </c:pt>
                <c:pt idx="1">
                  <c:v>Gastroenterology</c:v>
                </c:pt>
                <c:pt idx="2">
                  <c:v>Neurology</c:v>
                </c:pt>
                <c:pt idx="3">
                  <c:v>Oncology</c:v>
                </c:pt>
                <c:pt idx="4">
                  <c:v>Orthopedics</c:v>
                </c:pt>
                <c:pt idx="5">
                  <c:v>Pediatrics</c:v>
                </c:pt>
              </c:strCache>
            </c:strRef>
          </c:cat>
          <c:val>
            <c:numRef>
              <c:f>PivotChart_AgeDept!$I$4:$I$10</c:f>
              <c:numCache>
                <c:formatCode>0.00</c:formatCode>
                <c:ptCount val="6"/>
                <c:pt idx="0">
                  <c:v>50</c:v>
                </c:pt>
                <c:pt idx="1">
                  <c:v>50</c:v>
                </c:pt>
                <c:pt idx="2">
                  <c:v>50</c:v>
                </c:pt>
                <c:pt idx="3">
                  <c:v>50</c:v>
                </c:pt>
                <c:pt idx="4">
                  <c:v>50</c:v>
                </c:pt>
                <c:pt idx="5">
                  <c:v>50</c:v>
                </c:pt>
              </c:numCache>
            </c:numRef>
          </c:val>
          <c:extLst>
            <c:ext xmlns:c16="http://schemas.microsoft.com/office/drawing/2014/chart" uri="{C3380CC4-5D6E-409C-BE32-E72D297353CC}">
              <c16:uniqueId val="{00000001-CA93-4D20-B817-014F52D89E1E}"/>
            </c:ext>
          </c:extLst>
        </c:ser>
        <c:ser>
          <c:idx val="2"/>
          <c:order val="2"/>
          <c:tx>
            <c:strRef>
              <c:f>PivotChart_AgeDept!$J$3</c:f>
              <c:strCache>
                <c:ptCount val="1"/>
                <c:pt idx="0">
                  <c:v>StdDev of Recovery Score</c:v>
                </c:pt>
              </c:strCache>
            </c:strRef>
          </c:tx>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PivotChart_AgeDept!$G$4:$G$10</c:f>
              <c:strCache>
                <c:ptCount val="6"/>
                <c:pt idx="0">
                  <c:v>Cardiology</c:v>
                </c:pt>
                <c:pt idx="1">
                  <c:v>Gastroenterology</c:v>
                </c:pt>
                <c:pt idx="2">
                  <c:v>Neurology</c:v>
                </c:pt>
                <c:pt idx="3">
                  <c:v>Oncology</c:v>
                </c:pt>
                <c:pt idx="4">
                  <c:v>Orthopedics</c:v>
                </c:pt>
                <c:pt idx="5">
                  <c:v>Pediatrics</c:v>
                </c:pt>
              </c:strCache>
            </c:strRef>
          </c:cat>
          <c:val>
            <c:numRef>
              <c:f>PivotChart_AgeDept!$J$4:$J$10</c:f>
              <c:numCache>
                <c:formatCode>General</c:formatCode>
                <c:ptCount val="6"/>
                <c:pt idx="0">
                  <c:v>12.860081424902086</c:v>
                </c:pt>
                <c:pt idx="1">
                  <c:v>13.299540510024325</c:v>
                </c:pt>
                <c:pt idx="2">
                  <c:v>13.527107779018213</c:v>
                </c:pt>
                <c:pt idx="3">
                  <c:v>13.594018522611863</c:v>
                </c:pt>
                <c:pt idx="4">
                  <c:v>12.86507638413161</c:v>
                </c:pt>
                <c:pt idx="5">
                  <c:v>13.804634238384114</c:v>
                </c:pt>
              </c:numCache>
            </c:numRef>
          </c:val>
          <c:extLst>
            <c:ext xmlns:c16="http://schemas.microsoft.com/office/drawing/2014/chart" uri="{C3380CC4-5D6E-409C-BE32-E72D297353CC}">
              <c16:uniqueId val="{00000002-CA93-4D20-B817-014F52D89E1E}"/>
            </c:ext>
          </c:extLst>
        </c:ser>
        <c:dLbls>
          <c:showLegendKey val="0"/>
          <c:showVal val="0"/>
          <c:showCatName val="0"/>
          <c:showSerName val="0"/>
          <c:showPercent val="0"/>
          <c:showBubbleSize val="0"/>
        </c:dLbls>
        <c:gapWidth val="150"/>
        <c:shape val="box"/>
        <c:axId val="514011496"/>
        <c:axId val="514009336"/>
        <c:axId val="0"/>
      </c:bar3DChart>
      <c:catAx>
        <c:axId val="514011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4009336"/>
        <c:crosses val="autoZero"/>
        <c:auto val="1"/>
        <c:lblAlgn val="ctr"/>
        <c:lblOffset val="100"/>
        <c:noMultiLvlLbl val="0"/>
      </c:catAx>
      <c:valAx>
        <c:axId val="514009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514011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27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[Hospital_Patient_Analytics_Dashboard.xlsx]PivotChart_CostCategory!PivotTable7</c:name>
    <c:fmtId val="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PivotChart_CostCategory!$B$3</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CE-45DE-A032-43A45F5E8188}"/>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CE-45DE-A032-43A45F5E81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PivotChart_CostCategory!$A$4:$A$6</c:f>
              <c:strCache>
                <c:ptCount val="2"/>
                <c:pt idx="0">
                  <c:v>High Cost</c:v>
                </c:pt>
                <c:pt idx="1">
                  <c:v>Low Cost</c:v>
                </c:pt>
              </c:strCache>
            </c:strRef>
          </c:cat>
          <c:val>
            <c:numRef>
              <c:f>PivotChart_CostCategory!$B$4:$B$6</c:f>
              <c:numCache>
                <c:formatCode>0.00</c:formatCode>
                <c:ptCount val="2"/>
                <c:pt idx="0">
                  <c:v>72.592592592592595</c:v>
                </c:pt>
                <c:pt idx="1">
                  <c:v>75.52459016393442</c:v>
                </c:pt>
              </c:numCache>
            </c:numRef>
          </c:val>
          <c:extLst>
            <c:ext xmlns:c16="http://schemas.microsoft.com/office/drawing/2014/chart" uri="{C3380CC4-5D6E-409C-BE32-E72D297353CC}">
              <c16:uniqueId val="{00000000-9EAB-4B96-9D0D-6898C0E3332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27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[Hospital_Patient_Analytics_Dashboard.xlsx]PivotChart_AgeDept!PivotTable9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219816272965874E-2"/>
          <c:y val="0.14249781277340332"/>
          <c:w val="0.77699628171478563"/>
          <c:h val="0.46351961213181686"/>
        </c:manualLayout>
      </c:layout>
      <c:bar3DChart>
        <c:barDir val="col"/>
        <c:grouping val="clustered"/>
        <c:varyColors val="0"/>
        <c:ser>
          <c:idx val="0"/>
          <c:order val="0"/>
          <c:tx>
            <c:strRef>
              <c:f>PivotChart_AgeDept!$H$3</c:f>
              <c:strCache>
                <c:ptCount val="1"/>
                <c:pt idx="0">
                  <c:v>Average Recovery Score</c:v>
                </c:pt>
              </c:strCache>
            </c:strRef>
          </c:tx>
          <c:spPr>
            <a:solidFill>
              <a:schemeClr val="accent1">
                <a:shade val="65000"/>
              </a:schemeClr>
            </a:solidFill>
            <a:ln>
              <a:noFill/>
            </a:ln>
            <a:effectLst/>
            <a:sp3d/>
          </c:spPr>
          <c:invertIfNegative val="0"/>
          <c:cat>
            <c:strRef>
              <c:f>PivotChart_AgeDept!$G$4:$G$10</c:f>
              <c:strCache>
                <c:ptCount val="6"/>
                <c:pt idx="0">
                  <c:v>Cardiology</c:v>
                </c:pt>
                <c:pt idx="1">
                  <c:v>Gastroenterology</c:v>
                </c:pt>
                <c:pt idx="2">
                  <c:v>Neurology</c:v>
                </c:pt>
                <c:pt idx="3">
                  <c:v>Oncology</c:v>
                </c:pt>
                <c:pt idx="4">
                  <c:v>Orthopedics</c:v>
                </c:pt>
                <c:pt idx="5">
                  <c:v>Pediatrics</c:v>
                </c:pt>
              </c:strCache>
            </c:strRef>
          </c:cat>
          <c:val>
            <c:numRef>
              <c:f>PivotChart_AgeDept!$H$4:$H$10</c:f>
              <c:numCache>
                <c:formatCode>0.00</c:formatCode>
                <c:ptCount val="6"/>
                <c:pt idx="0">
                  <c:v>75.658227848101262</c:v>
                </c:pt>
                <c:pt idx="1">
                  <c:v>71.518518518518519</c:v>
                </c:pt>
                <c:pt idx="2">
                  <c:v>72.202380952380949</c:v>
                </c:pt>
                <c:pt idx="3">
                  <c:v>74.361111111111114</c:v>
                </c:pt>
                <c:pt idx="4">
                  <c:v>74.021052631578954</c:v>
                </c:pt>
                <c:pt idx="5">
                  <c:v>72.280898876404493</c:v>
                </c:pt>
              </c:numCache>
            </c:numRef>
          </c:val>
          <c:extLst>
            <c:ext xmlns:c16="http://schemas.microsoft.com/office/drawing/2014/chart" uri="{C3380CC4-5D6E-409C-BE32-E72D297353CC}">
              <c16:uniqueId val="{00000000-6458-497D-AB67-9E5694E34C92}"/>
            </c:ext>
          </c:extLst>
        </c:ser>
        <c:ser>
          <c:idx val="1"/>
          <c:order val="1"/>
          <c:tx>
            <c:strRef>
              <c:f>PivotChart_AgeDept!$I$3</c:f>
              <c:strCache>
                <c:ptCount val="1"/>
                <c:pt idx="0">
                  <c:v>Min of Recovery Score</c:v>
                </c:pt>
              </c:strCache>
            </c:strRef>
          </c:tx>
          <c:spPr>
            <a:solidFill>
              <a:schemeClr val="accent1"/>
            </a:solidFill>
            <a:ln>
              <a:noFill/>
            </a:ln>
            <a:effectLst/>
            <a:sp3d/>
          </c:spPr>
          <c:invertIfNegative val="0"/>
          <c:cat>
            <c:strRef>
              <c:f>PivotChart_AgeDept!$G$4:$G$10</c:f>
              <c:strCache>
                <c:ptCount val="6"/>
                <c:pt idx="0">
                  <c:v>Cardiology</c:v>
                </c:pt>
                <c:pt idx="1">
                  <c:v>Gastroenterology</c:v>
                </c:pt>
                <c:pt idx="2">
                  <c:v>Neurology</c:v>
                </c:pt>
                <c:pt idx="3">
                  <c:v>Oncology</c:v>
                </c:pt>
                <c:pt idx="4">
                  <c:v>Orthopedics</c:v>
                </c:pt>
                <c:pt idx="5">
                  <c:v>Pediatrics</c:v>
                </c:pt>
              </c:strCache>
            </c:strRef>
          </c:cat>
          <c:val>
            <c:numRef>
              <c:f>PivotChart_AgeDept!$I$4:$I$10</c:f>
              <c:numCache>
                <c:formatCode>0.00</c:formatCode>
                <c:ptCount val="6"/>
                <c:pt idx="0">
                  <c:v>50</c:v>
                </c:pt>
                <c:pt idx="1">
                  <c:v>50</c:v>
                </c:pt>
                <c:pt idx="2">
                  <c:v>50</c:v>
                </c:pt>
                <c:pt idx="3">
                  <c:v>50</c:v>
                </c:pt>
                <c:pt idx="4">
                  <c:v>50</c:v>
                </c:pt>
                <c:pt idx="5">
                  <c:v>50</c:v>
                </c:pt>
              </c:numCache>
            </c:numRef>
          </c:val>
          <c:extLst>
            <c:ext xmlns:c16="http://schemas.microsoft.com/office/drawing/2014/chart" uri="{C3380CC4-5D6E-409C-BE32-E72D297353CC}">
              <c16:uniqueId val="{00000001-6458-497D-AB67-9E5694E34C92}"/>
            </c:ext>
          </c:extLst>
        </c:ser>
        <c:ser>
          <c:idx val="2"/>
          <c:order val="2"/>
          <c:tx>
            <c:strRef>
              <c:f>PivotChart_AgeDept!$J$3</c:f>
              <c:strCache>
                <c:ptCount val="1"/>
                <c:pt idx="0">
                  <c:v>StdDev of Recovery Score</c:v>
                </c:pt>
              </c:strCache>
            </c:strRef>
          </c:tx>
          <c:spPr>
            <a:solidFill>
              <a:schemeClr val="accent1">
                <a:tint val="65000"/>
              </a:schemeClr>
            </a:solidFill>
            <a:ln>
              <a:noFill/>
            </a:ln>
            <a:effectLst/>
            <a:sp3d/>
          </c:spPr>
          <c:invertIfNegative val="0"/>
          <c:cat>
            <c:strRef>
              <c:f>PivotChart_AgeDept!$G$4:$G$10</c:f>
              <c:strCache>
                <c:ptCount val="6"/>
                <c:pt idx="0">
                  <c:v>Cardiology</c:v>
                </c:pt>
                <c:pt idx="1">
                  <c:v>Gastroenterology</c:v>
                </c:pt>
                <c:pt idx="2">
                  <c:v>Neurology</c:v>
                </c:pt>
                <c:pt idx="3">
                  <c:v>Oncology</c:v>
                </c:pt>
                <c:pt idx="4">
                  <c:v>Orthopedics</c:v>
                </c:pt>
                <c:pt idx="5">
                  <c:v>Pediatrics</c:v>
                </c:pt>
              </c:strCache>
            </c:strRef>
          </c:cat>
          <c:val>
            <c:numRef>
              <c:f>PivotChart_AgeDept!$J$4:$J$10</c:f>
              <c:numCache>
                <c:formatCode>General</c:formatCode>
                <c:ptCount val="6"/>
                <c:pt idx="0">
                  <c:v>12.860081424902086</c:v>
                </c:pt>
                <c:pt idx="1">
                  <c:v>13.299540510024325</c:v>
                </c:pt>
                <c:pt idx="2">
                  <c:v>13.527107779018213</c:v>
                </c:pt>
                <c:pt idx="3">
                  <c:v>13.594018522611863</c:v>
                </c:pt>
                <c:pt idx="4">
                  <c:v>12.86507638413161</c:v>
                </c:pt>
                <c:pt idx="5">
                  <c:v>13.804634238384114</c:v>
                </c:pt>
              </c:numCache>
            </c:numRef>
          </c:val>
          <c:extLst>
            <c:ext xmlns:c16="http://schemas.microsoft.com/office/drawing/2014/chart" uri="{C3380CC4-5D6E-409C-BE32-E72D297353CC}">
              <c16:uniqueId val="{00000002-6458-497D-AB67-9E5694E34C92}"/>
            </c:ext>
          </c:extLst>
        </c:ser>
        <c:dLbls>
          <c:showLegendKey val="0"/>
          <c:showVal val="0"/>
          <c:showCatName val="0"/>
          <c:showSerName val="0"/>
          <c:showPercent val="0"/>
          <c:showBubbleSize val="0"/>
        </c:dLbls>
        <c:gapWidth val="150"/>
        <c:shape val="box"/>
        <c:axId val="514011496"/>
        <c:axId val="514009336"/>
        <c:axId val="0"/>
      </c:bar3DChart>
      <c:catAx>
        <c:axId val="514011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09336"/>
        <c:crosses val="autoZero"/>
        <c:auto val="1"/>
        <c:lblAlgn val="ctr"/>
        <c:lblOffset val="100"/>
        <c:noMultiLvlLbl val="0"/>
      </c:catAx>
      <c:valAx>
        <c:axId val="514009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011496"/>
        <c:crosses val="autoZero"/>
        <c:crossBetween val="between"/>
      </c:valAx>
      <c:spPr>
        <a:noFill/>
        <a:ln>
          <a:noFill/>
        </a:ln>
        <a:effectLst/>
      </c:spPr>
    </c:plotArea>
    <c:legend>
      <c:legendPos val="r"/>
      <c:layout>
        <c:manualLayout>
          <c:xMode val="edge"/>
          <c:yMode val="edge"/>
          <c:x val="0.23354943132108485"/>
          <c:y val="0.80751166520851558"/>
          <c:w val="0.73867279090113735"/>
          <c:h val="0.17664297171186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27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Avg Recovery Score by Treatment Type</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1400" b="1" i="0" u="none" strike="noStrike" kern="1200" baseline="0">
              <a:solidFill>
                <a:schemeClr val="tx1">
                  <a:lumMod val="65000"/>
                  <a:lumOff val="35000"/>
                </a:schemeClr>
              </a:solidFill>
              <a:latin typeface="+mn-lt"/>
              <a:ea typeface="+mn-ea"/>
              <a:cs typeface="+mn-cs"/>
            </a:rPr>
            <a:t>Avg Recovery Score by Treatment Type</a:t>
          </a:r>
        </a:p>
      </cx:txPr>
    </cx:title>
    <cx:plotArea>
      <cx:plotAreaRegion>
        <cx:plotSurface>
          <cx:spPr>
            <a:effectLst>
              <a:outerShdw blurRad="50800" dist="38100" dir="5400000" algn="t" rotWithShape="0">
                <a:prstClr val="black">
                  <a:alpha val="40000"/>
                </a:prstClr>
              </a:outerShdw>
            </a:effectLst>
          </cx:spPr>
        </cx:plotSurface>
        <cx:series layoutId="funnel" uniqueId="{6979C09E-6B73-4FB5-ACBB-A333FC00730E}">
          <cx:tx>
            <cx:txData>
              <cx:f/>
              <cx:v>Treatment Type</cx:v>
            </cx:txData>
          </cx:tx>
          <cx:dataId val="0"/>
        </cx:series>
      </cx:plotAreaRegion>
      <cx:axis id="0">
        <cx:catScaling gapWidth="0.0599999987"/>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chart>
  <cx:spPr>
    <a:effectLst>
      <a:outerShdw blurRad="177800" dist="114300" dir="2700000" algn="t"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Avg Recovery Score by Age Group</cx:v>
        </cx:txData>
      </cx:tx>
      <cx:txPr>
        <a:bodyPr spcFirstLastPara="1" vertOverflow="ellipsis" horzOverflow="overflow" wrap="square" lIns="0" tIns="0" rIns="0" bIns="0" anchor="ctr" anchorCtr="1"/>
        <a:lstStyle/>
        <a:p>
          <a:pPr algn="ctr" rtl="0">
            <a:defRPr>
              <a:solidFill>
                <a:schemeClr val="tx1">
                  <a:lumMod val="65000"/>
                  <a:lumOff val="35000"/>
                </a:schemeClr>
              </a:solidFill>
            </a:defRPr>
          </a:pPr>
          <a:r>
            <a:rPr lang="en-US" sz="1400" b="1" i="0" u="none" strike="noStrike" baseline="0">
              <a:solidFill>
                <a:schemeClr val="tx1">
                  <a:lumMod val="65000"/>
                  <a:lumOff val="35000"/>
                </a:schemeClr>
              </a:solidFill>
              <a:latin typeface="Calibri"/>
            </a:rPr>
            <a:t>Avg Recovery Score by Age Group</a:t>
          </a:r>
        </a:p>
      </cx:txPr>
    </cx:title>
    <cx:plotArea>
      <cx:plotAreaRegion>
        <cx:series layoutId="treemap" uniqueId="{FFE58CD1-6492-4E24-A8F1-27C84A4B2AC6}">
          <cx:dataLabels pos="ctr">
            <cx:visibility seriesName="0" categoryName="1" value="0"/>
          </cx:dataLabels>
          <cx:dataId val="0"/>
          <cx:layoutPr>
            <cx:parentLabelLayout val="overlapping"/>
          </cx:layoutPr>
        </cx:series>
      </cx:plotAreaRegion>
    </cx:plotArea>
  </cx:chart>
  <cx:spPr>
    <a:effectLst>
      <a:outerShdw blurRad="177800" dist="114300" dir="27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2.svg"/><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1.png"/><Relationship Id="rId2" Type="http://schemas.microsoft.com/office/2014/relationships/chartEx" Target="../charts/chartEx1.xml"/><Relationship Id="rId16" Type="http://schemas.openxmlformats.org/officeDocument/2006/relationships/chart" Target="../charts/chart4.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microsoft.com/office/2014/relationships/chartEx" Target="../charts/chartEx2.xml"/><Relationship Id="rId10" Type="http://schemas.openxmlformats.org/officeDocument/2006/relationships/image" Target="../media/image6.svg"/><Relationship Id="rId4" Type="http://schemas.openxmlformats.org/officeDocument/2006/relationships/chart" Target="../charts/chart3.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368420</xdr:colOff>
      <xdr:row>0</xdr:row>
      <xdr:rowOff>152401</xdr:rowOff>
    </xdr:from>
    <xdr:to>
      <xdr:col>18</xdr:col>
      <xdr:colOff>159541</xdr:colOff>
      <xdr:row>5</xdr:row>
      <xdr:rowOff>35719</xdr:rowOff>
    </xdr:to>
    <xdr:sp macro="" textlink="">
      <xdr:nvSpPr>
        <xdr:cNvPr id="2" name="Rectangle: Top Corners Rounded 1">
          <a:extLst>
            <a:ext uri="{FF2B5EF4-FFF2-40B4-BE49-F238E27FC236}">
              <a16:creationId xmlns:a16="http://schemas.microsoft.com/office/drawing/2014/main" id="{6B2B094B-CC62-539D-CEFE-1847E7D2268B}"/>
            </a:ext>
          </a:extLst>
        </xdr:cNvPr>
        <xdr:cNvSpPr/>
      </xdr:nvSpPr>
      <xdr:spPr>
        <a:xfrm>
          <a:off x="368420" y="152401"/>
          <a:ext cx="10852411" cy="805092"/>
        </a:xfrm>
        <a:prstGeom prst="round2Same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2">
                  <a:lumMod val="75000"/>
                </a:schemeClr>
              </a:solidFill>
            </a:rPr>
            <a:t>              Excel</a:t>
          </a:r>
          <a:r>
            <a:rPr lang="en-IN" sz="2800" b="1" baseline="0">
              <a:solidFill>
                <a:schemeClr val="tx2">
                  <a:lumMod val="75000"/>
                </a:schemeClr>
              </a:solidFill>
            </a:rPr>
            <a:t> Dashboard -</a:t>
          </a:r>
          <a:r>
            <a:rPr lang="en-IN" sz="2800" b="1">
              <a:solidFill>
                <a:schemeClr val="tx2">
                  <a:lumMod val="75000"/>
                </a:schemeClr>
              </a:solidFill>
            </a:rPr>
            <a:t> Patient Treatment Data - Recovery Analysis </a:t>
          </a:r>
        </a:p>
      </xdr:txBody>
    </xdr:sp>
    <xdr:clientData/>
  </xdr:twoCellAnchor>
  <xdr:oneCellAnchor>
    <xdr:from>
      <xdr:col>7</xdr:col>
      <xdr:colOff>571500</xdr:colOff>
      <xdr:row>3</xdr:row>
      <xdr:rowOff>59531</xdr:rowOff>
    </xdr:from>
    <xdr:ext cx="2095500" cy="333376"/>
    <xdr:sp macro="" textlink="">
      <xdr:nvSpPr>
        <xdr:cNvPr id="3" name="TextBox 2">
          <a:extLst>
            <a:ext uri="{FF2B5EF4-FFF2-40B4-BE49-F238E27FC236}">
              <a16:creationId xmlns:a16="http://schemas.microsoft.com/office/drawing/2014/main" id="{C05381E8-AC31-0C05-9461-0FFA5A13E802}"/>
            </a:ext>
          </a:extLst>
        </xdr:cNvPr>
        <xdr:cNvSpPr txBox="1"/>
      </xdr:nvSpPr>
      <xdr:spPr>
        <a:xfrm>
          <a:off x="4822031" y="631031"/>
          <a:ext cx="2095500" cy="333376"/>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accent2"/>
              </a:solidFill>
            </a:rPr>
            <a:t>What Drives Better Recovery?</a:t>
          </a:r>
        </a:p>
      </xdr:txBody>
    </xdr:sp>
    <xdr:clientData/>
  </xdr:oneCellAnchor>
  <xdr:twoCellAnchor editAs="oneCell">
    <xdr:from>
      <xdr:col>18</xdr:col>
      <xdr:colOff>513193</xdr:colOff>
      <xdr:row>27</xdr:row>
      <xdr:rowOff>159837</xdr:rowOff>
    </xdr:from>
    <xdr:to>
      <xdr:col>22</xdr:col>
      <xdr:colOff>416052</xdr:colOff>
      <xdr:row>39</xdr:row>
      <xdr:rowOff>91337</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85D69E80-AA9A-4038-9DAC-207630F5017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443131" y="5303337"/>
              <a:ext cx="2331734" cy="221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526833</xdr:colOff>
      <xdr:row>18</xdr:row>
      <xdr:rowOff>130480</xdr:rowOff>
    </xdr:from>
    <xdr:to>
      <xdr:col>22</xdr:col>
      <xdr:colOff>427484</xdr:colOff>
      <xdr:row>26</xdr:row>
      <xdr:rowOff>130480</xdr:rowOff>
    </xdr:to>
    <mc:AlternateContent xmlns:mc="http://schemas.openxmlformats.org/markup-compatibility/2006" xmlns:a14="http://schemas.microsoft.com/office/drawing/2010/main">
      <mc:Choice Requires="a14">
        <xdr:graphicFrame macro="">
          <xdr:nvGraphicFramePr>
            <xdr:cNvPr id="9" name="Treatment Type 1">
              <a:extLst>
                <a:ext uri="{FF2B5EF4-FFF2-40B4-BE49-F238E27FC236}">
                  <a16:creationId xmlns:a16="http://schemas.microsoft.com/office/drawing/2014/main" id="{E6C968AF-311C-4152-8EAC-A41C8934B0CF}"/>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1599646" y="3702355"/>
              <a:ext cx="2361276"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529214</xdr:colOff>
      <xdr:row>8</xdr:row>
      <xdr:rowOff>91337</xdr:rowOff>
    </xdr:from>
    <xdr:to>
      <xdr:col>22</xdr:col>
      <xdr:colOff>429865</xdr:colOff>
      <xdr:row>17</xdr:row>
      <xdr:rowOff>128880</xdr:rowOff>
    </xdr:to>
    <mc:AlternateContent xmlns:mc="http://schemas.openxmlformats.org/markup-compatibility/2006" xmlns:a14="http://schemas.microsoft.com/office/drawing/2010/main">
      <mc:Choice Requires="a14">
        <xdr:graphicFrame macro="">
          <xdr:nvGraphicFramePr>
            <xdr:cNvPr id="10" name="Doctor Name 1">
              <a:extLst>
                <a:ext uri="{FF2B5EF4-FFF2-40B4-BE49-F238E27FC236}">
                  <a16:creationId xmlns:a16="http://schemas.microsoft.com/office/drawing/2014/main" id="{B7823AA7-DADA-42DB-87B3-D4E0E21708EE}"/>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11602027" y="1678837"/>
              <a:ext cx="2361276" cy="1823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529408</xdr:colOff>
      <xdr:row>0</xdr:row>
      <xdr:rowOff>104384</xdr:rowOff>
    </xdr:from>
    <xdr:to>
      <xdr:col>22</xdr:col>
      <xdr:colOff>430059</xdr:colOff>
      <xdr:row>7</xdr:row>
      <xdr:rowOff>101549</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8A336AB7-35F6-4803-80C1-33B36901D19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02221" y="104384"/>
              <a:ext cx="2361276" cy="1386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427655</xdr:colOff>
      <xdr:row>6</xdr:row>
      <xdr:rowOff>97194</xdr:rowOff>
    </xdr:from>
    <xdr:to>
      <xdr:col>3</xdr:col>
      <xdr:colOff>495691</xdr:colOff>
      <xdr:row>10</xdr:row>
      <xdr:rowOff>38878</xdr:rowOff>
    </xdr:to>
    <xdr:sp macro="" textlink="">
      <xdr:nvSpPr>
        <xdr:cNvPr id="13" name="Rectangle 12">
          <a:extLst>
            <a:ext uri="{FF2B5EF4-FFF2-40B4-BE49-F238E27FC236}">
              <a16:creationId xmlns:a16="http://schemas.microsoft.com/office/drawing/2014/main" id="{B3A0853D-0B46-ABB2-48BB-EB8D8EA3221B}"/>
            </a:ext>
          </a:extLst>
        </xdr:cNvPr>
        <xdr:cNvSpPr/>
      </xdr:nvSpPr>
      <xdr:spPr>
        <a:xfrm>
          <a:off x="427655" y="1263521"/>
          <a:ext cx="1905000" cy="719235"/>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tx2">
                  <a:lumMod val="75000"/>
                </a:schemeClr>
              </a:solidFill>
              <a:latin typeface="+mn-lt"/>
              <a:ea typeface="+mn-ea"/>
              <a:cs typeface="+mn-cs"/>
            </a:rPr>
            <a:t>Patients</a:t>
          </a:r>
          <a:r>
            <a:rPr lang="en-IN" sz="1600" b="1" baseline="0">
              <a:solidFill>
                <a:schemeClr val="tx2">
                  <a:lumMod val="75000"/>
                </a:schemeClr>
              </a:solidFill>
              <a:latin typeface="+mn-lt"/>
              <a:ea typeface="+mn-ea"/>
              <a:cs typeface="+mn-cs"/>
            </a:rPr>
            <a:t> Count</a:t>
          </a:r>
        </a:p>
        <a:p>
          <a:pPr marL="0" indent="0" algn="ctr"/>
          <a:endParaRPr lang="en-IN" sz="1600" b="1">
            <a:solidFill>
              <a:schemeClr val="accent1">
                <a:lumMod val="75000"/>
              </a:schemeClr>
            </a:solidFill>
            <a:latin typeface="+mn-lt"/>
            <a:ea typeface="+mn-ea"/>
            <a:cs typeface="+mn-cs"/>
          </a:endParaRPr>
        </a:p>
      </xdr:txBody>
    </xdr:sp>
    <xdr:clientData/>
  </xdr:twoCellAnchor>
  <xdr:oneCellAnchor>
    <xdr:from>
      <xdr:col>2</xdr:col>
      <xdr:colOff>303687</xdr:colOff>
      <xdr:row>8</xdr:row>
      <xdr:rowOff>15220</xdr:rowOff>
    </xdr:from>
    <xdr:ext cx="747657" cy="347331"/>
    <xdr:sp macro="" textlink="KPI_Summary!A4">
      <xdr:nvSpPr>
        <xdr:cNvPr id="19" name="TextBox 18">
          <a:extLst>
            <a:ext uri="{FF2B5EF4-FFF2-40B4-BE49-F238E27FC236}">
              <a16:creationId xmlns:a16="http://schemas.microsoft.com/office/drawing/2014/main" id="{0CBDB7A0-9100-46BE-B2A2-EE1FE9DF44D3}"/>
            </a:ext>
          </a:extLst>
        </xdr:cNvPr>
        <xdr:cNvSpPr txBox="1"/>
      </xdr:nvSpPr>
      <xdr:spPr>
        <a:xfrm>
          <a:off x="1518610" y="1531444"/>
          <a:ext cx="747657" cy="347331"/>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0D6969F-F479-4F5F-9C02-7B0B12483CDA}" type="TxLink">
            <a:rPr lang="en-US" sz="2000" b="1" i="0" u="none" strike="noStrike">
              <a:solidFill>
                <a:schemeClr val="accent1">
                  <a:lumMod val="75000"/>
                </a:schemeClr>
              </a:solidFill>
              <a:latin typeface="Calibri"/>
              <a:cs typeface="Calibri"/>
            </a:rPr>
            <a:pPr/>
            <a:t>500</a:t>
          </a:fld>
          <a:endParaRPr lang="en-IN" sz="2000" b="1">
            <a:solidFill>
              <a:schemeClr val="accent1">
                <a:lumMod val="75000"/>
              </a:schemeClr>
            </a:solidFill>
          </a:endParaRPr>
        </a:p>
      </xdr:txBody>
    </xdr:sp>
    <xdr:clientData/>
  </xdr:oneCellAnchor>
  <xdr:twoCellAnchor>
    <xdr:from>
      <xdr:col>4</xdr:col>
      <xdr:colOff>181560</xdr:colOff>
      <xdr:row>6</xdr:row>
      <xdr:rowOff>94084</xdr:rowOff>
    </xdr:from>
    <xdr:to>
      <xdr:col>7</xdr:col>
      <xdr:colOff>249596</xdr:colOff>
      <xdr:row>10</xdr:row>
      <xdr:rowOff>35768</xdr:rowOff>
    </xdr:to>
    <xdr:sp macro="" textlink="">
      <xdr:nvSpPr>
        <xdr:cNvPr id="31" name="Rectangle 30">
          <a:extLst>
            <a:ext uri="{FF2B5EF4-FFF2-40B4-BE49-F238E27FC236}">
              <a16:creationId xmlns:a16="http://schemas.microsoft.com/office/drawing/2014/main" id="{ACA4C05F-3EA8-4750-9AE6-DA2E1C96B7E3}"/>
            </a:ext>
          </a:extLst>
        </xdr:cNvPr>
        <xdr:cNvSpPr/>
      </xdr:nvSpPr>
      <xdr:spPr>
        <a:xfrm>
          <a:off x="2618188" y="1223793"/>
          <a:ext cx="1895507" cy="694824"/>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tx2">
                  <a:lumMod val="75000"/>
                </a:schemeClr>
              </a:solidFill>
              <a:latin typeface="+mn-lt"/>
              <a:ea typeface="+mn-ea"/>
              <a:cs typeface="+mn-cs"/>
            </a:rPr>
            <a:t>Avg Treament Cost</a:t>
          </a:r>
          <a:endParaRPr lang="en-IN" sz="1600" b="1" baseline="0">
            <a:solidFill>
              <a:schemeClr val="tx2">
                <a:lumMod val="75000"/>
              </a:schemeClr>
            </a:solidFill>
            <a:latin typeface="+mn-lt"/>
            <a:ea typeface="+mn-ea"/>
            <a:cs typeface="+mn-cs"/>
          </a:endParaRPr>
        </a:p>
        <a:p>
          <a:pPr marL="0" indent="0" algn="ctr"/>
          <a:endParaRPr lang="en-IN" sz="1600" b="1">
            <a:solidFill>
              <a:schemeClr val="tx2">
                <a:lumMod val="75000"/>
              </a:schemeClr>
            </a:solidFill>
            <a:latin typeface="+mn-lt"/>
            <a:ea typeface="+mn-ea"/>
            <a:cs typeface="+mn-cs"/>
          </a:endParaRPr>
        </a:p>
      </xdr:txBody>
    </xdr:sp>
    <xdr:clientData/>
  </xdr:twoCellAnchor>
  <xdr:oneCellAnchor>
    <xdr:from>
      <xdr:col>5</xdr:col>
      <xdr:colOff>146705</xdr:colOff>
      <xdr:row>8</xdr:row>
      <xdr:rowOff>8985</xdr:rowOff>
    </xdr:from>
    <xdr:ext cx="1309001" cy="315796"/>
    <xdr:sp macro="" textlink="KPI_Summary!B4">
      <xdr:nvSpPr>
        <xdr:cNvPr id="32" name="TextBox 31">
          <a:extLst>
            <a:ext uri="{FF2B5EF4-FFF2-40B4-BE49-F238E27FC236}">
              <a16:creationId xmlns:a16="http://schemas.microsoft.com/office/drawing/2014/main" id="{F3725AAF-CB51-4455-93C0-83F1479AB2F9}"/>
            </a:ext>
          </a:extLst>
        </xdr:cNvPr>
        <xdr:cNvSpPr txBox="1"/>
      </xdr:nvSpPr>
      <xdr:spPr>
        <a:xfrm>
          <a:off x="3201894" y="1518608"/>
          <a:ext cx="1309001" cy="315796"/>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0527DE0F-B6F7-4316-B3C1-6A5FBC96F6AE}" type="TxLink">
            <a:rPr lang="en-US" sz="2000" b="1" i="0" u="none" strike="noStrike">
              <a:solidFill>
                <a:schemeClr val="accent1">
                  <a:lumMod val="75000"/>
                </a:schemeClr>
              </a:solidFill>
              <a:latin typeface="Calibri"/>
              <a:ea typeface="+mn-ea"/>
              <a:cs typeface="Calibri"/>
            </a:rPr>
            <a:pPr marL="0" indent="0"/>
            <a:t>105285.74</a:t>
          </a:fld>
          <a:endParaRPr lang="en-IN" sz="2000" b="1" i="0" u="none" strike="noStrike">
            <a:solidFill>
              <a:schemeClr val="accent1">
                <a:lumMod val="75000"/>
              </a:schemeClr>
            </a:solidFill>
            <a:latin typeface="Calibri"/>
            <a:ea typeface="+mn-ea"/>
            <a:cs typeface="Calibri"/>
          </a:endParaRPr>
        </a:p>
      </xdr:txBody>
    </xdr:sp>
    <xdr:clientData/>
  </xdr:oneCellAnchor>
  <xdr:twoCellAnchor>
    <xdr:from>
      <xdr:col>7</xdr:col>
      <xdr:colOff>557506</xdr:colOff>
      <xdr:row>6</xdr:row>
      <xdr:rowOff>90973</xdr:rowOff>
    </xdr:from>
    <xdr:to>
      <xdr:col>11</xdr:col>
      <xdr:colOff>13220</xdr:colOff>
      <xdr:row>10</xdr:row>
      <xdr:rowOff>32657</xdr:rowOff>
    </xdr:to>
    <xdr:sp macro="" textlink="">
      <xdr:nvSpPr>
        <xdr:cNvPr id="33" name="Rectangle 32">
          <a:extLst>
            <a:ext uri="{FF2B5EF4-FFF2-40B4-BE49-F238E27FC236}">
              <a16:creationId xmlns:a16="http://schemas.microsoft.com/office/drawing/2014/main" id="{526F04F7-20C0-47CB-B94C-C4E3EE4790DC}"/>
            </a:ext>
          </a:extLst>
        </xdr:cNvPr>
        <xdr:cNvSpPr/>
      </xdr:nvSpPr>
      <xdr:spPr>
        <a:xfrm>
          <a:off x="4808037" y="1233973"/>
          <a:ext cx="1884589" cy="703684"/>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tx2">
                  <a:lumMod val="75000"/>
                </a:schemeClr>
              </a:solidFill>
              <a:latin typeface="+mn-lt"/>
              <a:ea typeface="+mn-ea"/>
              <a:cs typeface="+mn-cs"/>
            </a:rPr>
            <a:t>Avgerage</a:t>
          </a:r>
          <a:r>
            <a:rPr lang="en-IN" sz="1600" b="1" baseline="0">
              <a:solidFill>
                <a:schemeClr val="tx2">
                  <a:lumMod val="75000"/>
                </a:schemeClr>
              </a:solidFill>
              <a:latin typeface="+mn-lt"/>
              <a:ea typeface="+mn-ea"/>
              <a:cs typeface="+mn-cs"/>
            </a:rPr>
            <a:t> Age</a:t>
          </a:r>
          <a:endParaRPr lang="en-IN" sz="1600" b="1">
            <a:solidFill>
              <a:schemeClr val="tx2">
                <a:lumMod val="75000"/>
              </a:schemeClr>
            </a:solidFill>
            <a:latin typeface="+mn-lt"/>
            <a:ea typeface="+mn-ea"/>
            <a:cs typeface="+mn-cs"/>
          </a:endParaRPr>
        </a:p>
      </xdr:txBody>
    </xdr:sp>
    <xdr:clientData/>
  </xdr:twoCellAnchor>
  <xdr:oneCellAnchor>
    <xdr:from>
      <xdr:col>9</xdr:col>
      <xdr:colOff>236950</xdr:colOff>
      <xdr:row>8</xdr:row>
      <xdr:rowOff>14579</xdr:rowOff>
    </xdr:from>
    <xdr:ext cx="868309" cy="305900"/>
    <xdr:sp macro="" textlink="KPI_Summary!C4">
      <xdr:nvSpPr>
        <xdr:cNvPr id="34" name="TextBox 33">
          <a:extLst>
            <a:ext uri="{FF2B5EF4-FFF2-40B4-BE49-F238E27FC236}">
              <a16:creationId xmlns:a16="http://schemas.microsoft.com/office/drawing/2014/main" id="{F0F24260-8CCF-47F8-80D8-9FCC61F39787}"/>
            </a:ext>
          </a:extLst>
        </xdr:cNvPr>
        <xdr:cNvSpPr txBox="1"/>
      </xdr:nvSpPr>
      <xdr:spPr>
        <a:xfrm>
          <a:off x="5704106" y="1530803"/>
          <a:ext cx="868309" cy="30590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7CF804A3-D25D-4225-9913-45A542316B88}" type="TxLink">
            <a:rPr lang="en-US" sz="2000" b="1" i="0" u="none" strike="noStrike">
              <a:solidFill>
                <a:schemeClr val="accent1">
                  <a:lumMod val="75000"/>
                </a:schemeClr>
              </a:solidFill>
              <a:latin typeface="Calibri"/>
              <a:ea typeface="+mn-ea"/>
              <a:cs typeface="Calibri"/>
            </a:rPr>
            <a:pPr marL="0" indent="0"/>
            <a:t>44.51</a:t>
          </a:fld>
          <a:endParaRPr lang="en-IN" sz="2000" b="1" i="0" u="none" strike="noStrike">
            <a:solidFill>
              <a:schemeClr val="accent1">
                <a:lumMod val="75000"/>
              </a:schemeClr>
            </a:solidFill>
            <a:latin typeface="Calibri"/>
            <a:ea typeface="+mn-ea"/>
            <a:cs typeface="Calibri"/>
          </a:endParaRPr>
        </a:p>
      </xdr:txBody>
    </xdr:sp>
    <xdr:clientData/>
  </xdr:oneCellAnchor>
  <xdr:twoCellAnchor>
    <xdr:from>
      <xdr:col>11</xdr:col>
      <xdr:colOff>301691</xdr:colOff>
      <xdr:row>6</xdr:row>
      <xdr:rowOff>87862</xdr:rowOff>
    </xdr:from>
    <xdr:to>
      <xdr:col>14</xdr:col>
      <xdr:colOff>369727</xdr:colOff>
      <xdr:row>10</xdr:row>
      <xdr:rowOff>29546</xdr:rowOff>
    </xdr:to>
    <xdr:sp macro="" textlink="">
      <xdr:nvSpPr>
        <xdr:cNvPr id="39" name="Rectangle 38">
          <a:extLst>
            <a:ext uri="{FF2B5EF4-FFF2-40B4-BE49-F238E27FC236}">
              <a16:creationId xmlns:a16="http://schemas.microsoft.com/office/drawing/2014/main" id="{E73AD6F8-20C8-4DBB-A816-5B7BDE4E07E7}"/>
            </a:ext>
          </a:extLst>
        </xdr:cNvPr>
        <xdr:cNvSpPr/>
      </xdr:nvSpPr>
      <xdr:spPr>
        <a:xfrm>
          <a:off x="7037227" y="1254189"/>
          <a:ext cx="1905000" cy="719235"/>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baseline="0">
              <a:solidFill>
                <a:schemeClr val="tx2">
                  <a:lumMod val="75000"/>
                </a:schemeClr>
              </a:solidFill>
              <a:latin typeface="+mn-lt"/>
              <a:ea typeface="+mn-ea"/>
              <a:cs typeface="+mn-cs"/>
            </a:rPr>
            <a:t>Avg Stay (Days)</a:t>
          </a:r>
        </a:p>
        <a:p>
          <a:pPr marL="0" indent="0" algn="ctr"/>
          <a:endParaRPr lang="en-IN" sz="1600" b="1">
            <a:solidFill>
              <a:schemeClr val="tx2">
                <a:lumMod val="75000"/>
              </a:schemeClr>
            </a:solidFill>
            <a:latin typeface="+mn-lt"/>
            <a:ea typeface="+mn-ea"/>
            <a:cs typeface="+mn-cs"/>
          </a:endParaRPr>
        </a:p>
      </xdr:txBody>
    </xdr:sp>
    <xdr:clientData/>
  </xdr:twoCellAnchor>
  <xdr:oneCellAnchor>
    <xdr:from>
      <xdr:col>13</xdr:col>
      <xdr:colOff>3916</xdr:colOff>
      <xdr:row>8</xdr:row>
      <xdr:rowOff>10840</xdr:rowOff>
    </xdr:from>
    <xdr:ext cx="940289" cy="398496"/>
    <xdr:sp macro="" textlink="KPI_Summary!D4">
      <xdr:nvSpPr>
        <xdr:cNvPr id="40" name="TextBox 39">
          <a:extLst>
            <a:ext uri="{FF2B5EF4-FFF2-40B4-BE49-F238E27FC236}">
              <a16:creationId xmlns:a16="http://schemas.microsoft.com/office/drawing/2014/main" id="{CC73D938-1B92-4A16-B9EF-AE0CDFD32620}"/>
            </a:ext>
          </a:extLst>
        </xdr:cNvPr>
        <xdr:cNvSpPr txBox="1"/>
      </xdr:nvSpPr>
      <xdr:spPr>
        <a:xfrm>
          <a:off x="7900919" y="1527064"/>
          <a:ext cx="940289" cy="398496"/>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7C260A8-8193-4717-BBF5-BFC047523465}" type="TxLink">
            <a:rPr lang="en-US" sz="2000" b="1" i="0" u="none" strike="noStrike">
              <a:solidFill>
                <a:schemeClr val="accent1">
                  <a:lumMod val="75000"/>
                </a:schemeClr>
              </a:solidFill>
              <a:latin typeface="Calibri"/>
              <a:ea typeface="+mn-ea"/>
              <a:cs typeface="Calibri"/>
            </a:rPr>
            <a:pPr marL="0" indent="0"/>
            <a:t>15.60</a:t>
          </a:fld>
          <a:endParaRPr lang="en-IN" sz="2000" b="1" i="0" u="none" strike="noStrike">
            <a:solidFill>
              <a:schemeClr val="accent1">
                <a:lumMod val="75000"/>
              </a:schemeClr>
            </a:solidFill>
            <a:latin typeface="Calibri"/>
            <a:ea typeface="+mn-ea"/>
            <a:cs typeface="Calibri"/>
          </a:endParaRPr>
        </a:p>
      </xdr:txBody>
    </xdr:sp>
    <xdr:clientData/>
  </xdr:oneCellAnchor>
  <xdr:twoCellAnchor>
    <xdr:from>
      <xdr:col>15</xdr:col>
      <xdr:colOff>31800</xdr:colOff>
      <xdr:row>6</xdr:row>
      <xdr:rowOff>87790</xdr:rowOff>
    </xdr:from>
    <xdr:to>
      <xdr:col>18</xdr:col>
      <xdr:colOff>99835</xdr:colOff>
      <xdr:row>10</xdr:row>
      <xdr:rowOff>29474</xdr:rowOff>
    </xdr:to>
    <xdr:sp macro="" textlink="">
      <xdr:nvSpPr>
        <xdr:cNvPr id="41" name="Rectangle 40">
          <a:extLst>
            <a:ext uri="{FF2B5EF4-FFF2-40B4-BE49-F238E27FC236}">
              <a16:creationId xmlns:a16="http://schemas.microsoft.com/office/drawing/2014/main" id="{D31AE2D7-AF6C-4975-A1B3-A091A20A291D}"/>
            </a:ext>
          </a:extLst>
        </xdr:cNvPr>
        <xdr:cNvSpPr/>
      </xdr:nvSpPr>
      <xdr:spPr>
        <a:xfrm>
          <a:off x="9194436" y="1237002"/>
          <a:ext cx="1900562" cy="707825"/>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baseline="0">
              <a:solidFill>
                <a:schemeClr val="tx2">
                  <a:lumMod val="75000"/>
                </a:schemeClr>
              </a:solidFill>
              <a:latin typeface="+mn-lt"/>
              <a:ea typeface="+mn-ea"/>
              <a:cs typeface="+mn-cs"/>
            </a:rPr>
            <a:t>Avg Recovery Score</a:t>
          </a:r>
        </a:p>
        <a:p>
          <a:pPr marL="0" indent="0" algn="ctr"/>
          <a:endParaRPr lang="en-IN" sz="1600" b="1">
            <a:solidFill>
              <a:schemeClr val="tx2">
                <a:lumMod val="75000"/>
              </a:schemeClr>
            </a:solidFill>
            <a:latin typeface="+mn-lt"/>
            <a:ea typeface="+mn-ea"/>
            <a:cs typeface="+mn-cs"/>
          </a:endParaRPr>
        </a:p>
      </xdr:txBody>
    </xdr:sp>
    <xdr:clientData/>
  </xdr:twoCellAnchor>
  <xdr:oneCellAnchor>
    <xdr:from>
      <xdr:col>17</xdr:col>
      <xdr:colOff>32468</xdr:colOff>
      <xdr:row>8</xdr:row>
      <xdr:rowOff>26194</xdr:rowOff>
    </xdr:from>
    <xdr:ext cx="710946" cy="398496"/>
    <xdr:sp macro="" textlink="KPI_Summary!E4">
      <xdr:nvSpPr>
        <xdr:cNvPr id="42" name="TextBox 41">
          <a:extLst>
            <a:ext uri="{FF2B5EF4-FFF2-40B4-BE49-F238E27FC236}">
              <a16:creationId xmlns:a16="http://schemas.microsoft.com/office/drawing/2014/main" id="{88EF7975-39B4-4FFB-BF3A-A024FF357A83}"/>
            </a:ext>
          </a:extLst>
        </xdr:cNvPr>
        <xdr:cNvSpPr txBox="1"/>
      </xdr:nvSpPr>
      <xdr:spPr>
        <a:xfrm>
          <a:off x="10300883" y="1513023"/>
          <a:ext cx="710946" cy="398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B7A2C89E-39A3-4999-BA84-70A2FBCC3DB0}" type="TxLink">
            <a:rPr lang="en-US" sz="2000" b="1" i="0" u="none" strike="noStrike">
              <a:solidFill>
                <a:schemeClr val="accent1">
                  <a:lumMod val="75000"/>
                </a:schemeClr>
              </a:solidFill>
              <a:latin typeface="Calibri"/>
              <a:ea typeface="+mn-ea"/>
              <a:cs typeface="Calibri"/>
            </a:rPr>
            <a:pPr marL="0" indent="0"/>
            <a:t>73.31</a:t>
          </a:fld>
          <a:endParaRPr lang="en-IN" sz="2000" b="1" i="0" u="none" strike="noStrike">
            <a:solidFill>
              <a:schemeClr val="accent1">
                <a:lumMod val="75000"/>
              </a:schemeClr>
            </a:solidFill>
            <a:latin typeface="Calibri"/>
            <a:ea typeface="+mn-ea"/>
            <a:cs typeface="Calibri"/>
          </a:endParaRPr>
        </a:p>
      </xdr:txBody>
    </xdr:sp>
    <xdr:clientData/>
  </xdr:oneCellAnchor>
  <xdr:twoCellAnchor>
    <xdr:from>
      <xdr:col>6</xdr:col>
      <xdr:colOff>553779</xdr:colOff>
      <xdr:row>12</xdr:row>
      <xdr:rowOff>9026</xdr:rowOff>
    </xdr:from>
    <xdr:to>
      <xdr:col>12</xdr:col>
      <xdr:colOff>243664</xdr:colOff>
      <xdr:row>26</xdr:row>
      <xdr:rowOff>16841</xdr:rowOff>
    </xdr:to>
    <xdr:graphicFrame macro="">
      <xdr:nvGraphicFramePr>
        <xdr:cNvPr id="45" name="Chart 44">
          <a:extLst>
            <a:ext uri="{FF2B5EF4-FFF2-40B4-BE49-F238E27FC236}">
              <a16:creationId xmlns:a16="http://schemas.microsoft.com/office/drawing/2014/main" id="{381D34F4-81AF-44A6-8BA1-C82FE3DBE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399625</xdr:colOff>
      <xdr:row>27</xdr:row>
      <xdr:rowOff>104274</xdr:rowOff>
    </xdr:from>
    <xdr:to>
      <xdr:col>6</xdr:col>
      <xdr:colOff>384252</xdr:colOff>
      <xdr:row>41</xdr:row>
      <xdr:rowOff>112089</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F489BEC9-EEE5-4CB6-8C3D-29CCF0EBFB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9625" y="5247774"/>
              <a:ext cx="3642227" cy="26748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484089</xdr:colOff>
      <xdr:row>12</xdr:row>
      <xdr:rowOff>11076</xdr:rowOff>
    </xdr:from>
    <xdr:to>
      <xdr:col>18</xdr:col>
      <xdr:colOff>178628</xdr:colOff>
      <xdr:row>26</xdr:row>
      <xdr:rowOff>48623</xdr:rowOff>
    </xdr:to>
    <xdr:graphicFrame macro="">
      <xdr:nvGraphicFramePr>
        <xdr:cNvPr id="4" name="Chart 3">
          <a:extLst>
            <a:ext uri="{FF2B5EF4-FFF2-40B4-BE49-F238E27FC236}">
              <a16:creationId xmlns:a16="http://schemas.microsoft.com/office/drawing/2014/main" id="{8D53EADC-62E9-48A4-8F8E-4AF44F8FC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584200</xdr:colOff>
      <xdr:row>27</xdr:row>
      <xdr:rowOff>119062</xdr:rowOff>
    </xdr:from>
    <xdr:to>
      <xdr:col>12</xdr:col>
      <xdr:colOff>243682</xdr:colOff>
      <xdr:row>41</xdr:row>
      <xdr:rowOff>119061</xdr:rowOff>
    </xdr:to>
    <xdr:graphicFrame macro="">
      <xdr:nvGraphicFramePr>
        <xdr:cNvPr id="5" name="Chart 4">
          <a:extLst>
            <a:ext uri="{FF2B5EF4-FFF2-40B4-BE49-F238E27FC236}">
              <a16:creationId xmlns:a16="http://schemas.microsoft.com/office/drawing/2014/main" id="{FCF18F67-C011-46B3-8EC1-BCA7E65C2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155355</xdr:colOff>
      <xdr:row>7</xdr:row>
      <xdr:rowOff>182082</xdr:rowOff>
    </xdr:from>
    <xdr:to>
      <xdr:col>2</xdr:col>
      <xdr:colOff>343344</xdr:colOff>
      <xdr:row>10</xdr:row>
      <xdr:rowOff>55377</xdr:rowOff>
    </xdr:to>
    <xdr:pic>
      <xdr:nvPicPr>
        <xdr:cNvPr id="14" name="Graphic 13" descr="Users">
          <a:extLst>
            <a:ext uri="{FF2B5EF4-FFF2-40B4-BE49-F238E27FC236}">
              <a16:creationId xmlns:a16="http://schemas.microsoft.com/office/drawing/2014/main" id="{77A3074D-CDA0-5DE0-BED8-77F510E2EB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4512" y="1500076"/>
          <a:ext cx="797146" cy="438150"/>
        </a:xfrm>
        <a:prstGeom prst="rect">
          <a:avLst/>
        </a:prstGeom>
      </xdr:spPr>
    </xdr:pic>
    <xdr:clientData/>
  </xdr:twoCellAnchor>
  <xdr:twoCellAnchor editAs="oneCell">
    <xdr:from>
      <xdr:col>4</xdr:col>
      <xdr:colOff>254739</xdr:colOff>
      <xdr:row>7</xdr:row>
      <xdr:rowOff>155058</xdr:rowOff>
    </xdr:from>
    <xdr:to>
      <xdr:col>5</xdr:col>
      <xdr:colOff>249864</xdr:colOff>
      <xdr:row>10</xdr:row>
      <xdr:rowOff>22148</xdr:rowOff>
    </xdr:to>
    <xdr:pic>
      <xdr:nvPicPr>
        <xdr:cNvPr id="16" name="Graphic 15" descr="Money">
          <a:extLst>
            <a:ext uri="{FF2B5EF4-FFF2-40B4-BE49-F238E27FC236}">
              <a16:creationId xmlns:a16="http://schemas.microsoft.com/office/drawing/2014/main" id="{954CF07D-C64C-4264-663E-0A46A73C10C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91367" y="1473052"/>
          <a:ext cx="604282" cy="431945"/>
        </a:xfrm>
        <a:prstGeom prst="rect">
          <a:avLst/>
        </a:prstGeom>
      </xdr:spPr>
    </xdr:pic>
    <xdr:clientData/>
  </xdr:twoCellAnchor>
  <xdr:twoCellAnchor editAs="oneCell">
    <xdr:from>
      <xdr:col>15</xdr:col>
      <xdr:colOff>180356</xdr:colOff>
      <xdr:row>7</xdr:row>
      <xdr:rowOff>132906</xdr:rowOff>
    </xdr:from>
    <xdr:to>
      <xdr:col>16</xdr:col>
      <xdr:colOff>197632</xdr:colOff>
      <xdr:row>10</xdr:row>
      <xdr:rowOff>66452</xdr:rowOff>
    </xdr:to>
    <xdr:pic>
      <xdr:nvPicPr>
        <xdr:cNvPr id="18" name="Graphic 17" descr="Heart with pulse">
          <a:extLst>
            <a:ext uri="{FF2B5EF4-FFF2-40B4-BE49-F238E27FC236}">
              <a16:creationId xmlns:a16="http://schemas.microsoft.com/office/drawing/2014/main" id="{6B7EEF83-8CB3-A9D6-82DF-A2A01F2EF8D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354435" y="1466406"/>
          <a:ext cx="628881" cy="505046"/>
        </a:xfrm>
        <a:prstGeom prst="rect">
          <a:avLst/>
        </a:prstGeom>
      </xdr:spPr>
    </xdr:pic>
    <xdr:clientData/>
  </xdr:twoCellAnchor>
  <xdr:twoCellAnchor editAs="oneCell">
    <xdr:from>
      <xdr:col>11</xdr:col>
      <xdr:colOff>564853</xdr:colOff>
      <xdr:row>8</xdr:row>
      <xdr:rowOff>33226</xdr:rowOff>
    </xdr:from>
    <xdr:to>
      <xdr:col>13</xdr:col>
      <xdr:colOff>72654</xdr:colOff>
      <xdr:row>9</xdr:row>
      <xdr:rowOff>188284</xdr:rowOff>
    </xdr:to>
    <xdr:pic>
      <xdr:nvPicPr>
        <xdr:cNvPr id="21" name="Graphic 20" descr="Clock">
          <a:extLst>
            <a:ext uri="{FF2B5EF4-FFF2-40B4-BE49-F238E27FC236}">
              <a16:creationId xmlns:a16="http://schemas.microsoft.com/office/drawing/2014/main" id="{73E5C93A-56D0-CDC3-BE7F-4F04296B256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65580" y="1539505"/>
          <a:ext cx="726115" cy="343343"/>
        </a:xfrm>
        <a:prstGeom prst="rect">
          <a:avLst/>
        </a:prstGeom>
      </xdr:spPr>
    </xdr:pic>
    <xdr:clientData/>
  </xdr:twoCellAnchor>
  <xdr:twoCellAnchor editAs="oneCell">
    <xdr:from>
      <xdr:col>8</xdr:col>
      <xdr:colOff>263715</xdr:colOff>
      <xdr:row>7</xdr:row>
      <xdr:rowOff>170448</xdr:rowOff>
    </xdr:from>
    <xdr:to>
      <xdr:col>9</xdr:col>
      <xdr:colOff>358523</xdr:colOff>
      <xdr:row>10</xdr:row>
      <xdr:rowOff>40106</xdr:rowOff>
    </xdr:to>
    <xdr:pic>
      <xdr:nvPicPr>
        <xdr:cNvPr id="23" name="Graphic 22" descr="Daily calendar">
          <a:extLst>
            <a:ext uri="{FF2B5EF4-FFF2-40B4-BE49-F238E27FC236}">
              <a16:creationId xmlns:a16="http://schemas.microsoft.com/office/drawing/2014/main" id="{C86A40C9-449A-4588-F886-2B39D5D21E7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156557" y="1503948"/>
          <a:ext cx="706413" cy="441158"/>
        </a:xfrm>
        <a:prstGeom prst="rect">
          <a:avLst/>
        </a:prstGeom>
      </xdr:spPr>
    </xdr:pic>
    <xdr:clientData/>
  </xdr:twoCellAnchor>
  <xdr:twoCellAnchor>
    <xdr:from>
      <xdr:col>12</xdr:col>
      <xdr:colOff>440533</xdr:colOff>
      <xdr:row>27</xdr:row>
      <xdr:rowOff>130968</xdr:rowOff>
    </xdr:from>
    <xdr:to>
      <xdr:col>18</xdr:col>
      <xdr:colOff>152567</xdr:colOff>
      <xdr:row>41</xdr:row>
      <xdr:rowOff>120170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EA09C390-D808-4A25-8E05-965D6AB325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755733" y="5274468"/>
              <a:ext cx="3369634" cy="26562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392905</xdr:colOff>
      <xdr:row>12</xdr:row>
      <xdr:rowOff>10504</xdr:rowOff>
    </xdr:from>
    <xdr:to>
      <xdr:col>6</xdr:col>
      <xdr:colOff>380999</xdr:colOff>
      <xdr:row>26</xdr:row>
      <xdr:rowOff>14008</xdr:rowOff>
    </xdr:to>
    <xdr:graphicFrame macro="">
      <xdr:nvGraphicFramePr>
        <xdr:cNvPr id="25" name="Chart 24">
          <a:extLst>
            <a:ext uri="{FF2B5EF4-FFF2-40B4-BE49-F238E27FC236}">
              <a16:creationId xmlns:a16="http://schemas.microsoft.com/office/drawing/2014/main" id="{833CC175-67BC-4BDB-9EA7-EB011030A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46463</xdr:colOff>
      <xdr:row>0</xdr:row>
      <xdr:rowOff>104542</xdr:rowOff>
    </xdr:from>
    <xdr:to>
      <xdr:col>2</xdr:col>
      <xdr:colOff>356838</xdr:colOff>
      <xdr:row>5</xdr:row>
      <xdr:rowOff>89674</xdr:rowOff>
    </xdr:to>
    <xdr:pic>
      <xdr:nvPicPr>
        <xdr:cNvPr id="7" name="Graphic 6" descr="Hospital">
          <a:extLst>
            <a:ext uri="{FF2B5EF4-FFF2-40B4-BE49-F238E27FC236}">
              <a16:creationId xmlns:a16="http://schemas.microsoft.com/office/drawing/2014/main" id="{CC7485F5-8396-B393-589B-5DC7FE731E8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50487" y="104542"/>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61912</xdr:colOff>
      <xdr:row>1</xdr:row>
      <xdr:rowOff>28575</xdr:rowOff>
    </xdr:from>
    <xdr:to>
      <xdr:col>10</xdr:col>
      <xdr:colOff>366712</xdr:colOff>
      <xdr:row>15</xdr:row>
      <xdr:rowOff>104775</xdr:rowOff>
    </xdr:to>
    <xdr:graphicFrame macro="">
      <xdr:nvGraphicFramePr>
        <xdr:cNvPr id="2" name="Chart 1">
          <a:extLst>
            <a:ext uri="{FF2B5EF4-FFF2-40B4-BE49-F238E27FC236}">
              <a16:creationId xmlns:a16="http://schemas.microsoft.com/office/drawing/2014/main" id="{A1A6070B-95FA-8641-BA91-AEB4CF7F6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890587</xdr:colOff>
      <xdr:row>11</xdr:row>
      <xdr:rowOff>152400</xdr:rowOff>
    </xdr:from>
    <xdr:to>
      <xdr:col>9</xdr:col>
      <xdr:colOff>1452562</xdr:colOff>
      <xdr:row>26</xdr:row>
      <xdr:rowOff>38100</xdr:rowOff>
    </xdr:to>
    <xdr:graphicFrame macro="">
      <xdr:nvGraphicFramePr>
        <xdr:cNvPr id="4" name="Chart 3">
          <a:extLst>
            <a:ext uri="{FF2B5EF4-FFF2-40B4-BE49-F238E27FC236}">
              <a16:creationId xmlns:a16="http://schemas.microsoft.com/office/drawing/2014/main" id="{2D61AD22-0605-F03A-7419-20F3CD01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8.046329976853" createdVersion="8" refreshedVersion="8" minRefreshableVersion="3" recordCount="501" xr:uid="{EBF281A8-F7B6-4FBD-90CF-13524C1DB837}">
  <cacheSource type="worksheet">
    <worksheetSource ref="A1:J1048576" sheet="Patient_Data"/>
  </cacheSource>
  <cacheFields count="10">
    <cacheField name="Patient ID" numFmtId="0">
      <sharedItems containsBlank="1"/>
    </cacheField>
    <cacheField name="Department" numFmtId="0">
      <sharedItems containsBlank="1"/>
    </cacheField>
    <cacheField name="Treatment Type" numFmtId="0">
      <sharedItems containsBlank="1"/>
    </cacheField>
    <cacheField name="Doctor Name" numFmtId="0">
      <sharedItems containsBlank="1"/>
    </cacheField>
    <cacheField name="Gender" numFmtId="0">
      <sharedItems containsBlank="1"/>
    </cacheField>
    <cacheField name="Age" numFmtId="0">
      <sharedItems containsString="0" containsBlank="1" containsNumber="1" containsInteger="1" minValue="1" maxValue="85"/>
    </cacheField>
    <cacheField name="Treatment Cost" numFmtId="0">
      <sharedItems containsString="0" containsBlank="1" containsNumber="1" containsInteger="1" minValue="15079" maxValue="199301"/>
    </cacheField>
    <cacheField name="Hospital Stay (Days)" numFmtId="0">
      <sharedItems containsString="0" containsBlank="1" containsNumber="1" containsInteger="1" minValue="3" maxValue="30"/>
    </cacheField>
    <cacheField name="Recovery Score" numFmtId="0">
      <sharedItems containsString="0" containsBlank="1" containsNumber="1" containsInteger="1" minValue="50" maxValue="95"/>
    </cacheField>
    <cacheField name="Cost Category" numFmtId="0">
      <sharedItems containsBlank="1" count="3">
        <s v="High Cost"/>
        <s v="Low Cost"/>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8.072032523145" createdVersion="8" refreshedVersion="8" minRefreshableVersion="3" recordCount="500" xr:uid="{272648EB-A9FA-4734-B3FA-28D4AA9CB2C7}">
  <cacheSource type="worksheet">
    <worksheetSource ref="A1:K501" sheet="Patient_Data"/>
  </cacheSource>
  <cacheFields count="11">
    <cacheField name="Patient ID" numFmtId="0">
      <sharedItems/>
    </cacheField>
    <cacheField name="Department" numFmtId="0">
      <sharedItems count="6">
        <s v="Neurology"/>
        <s v="Gastroenterology"/>
        <s v="Cardiology"/>
        <s v="Pediatrics"/>
        <s v="Orthopedics"/>
        <s v="Oncology"/>
      </sharedItems>
    </cacheField>
    <cacheField name="Treatment Type" numFmtId="0">
      <sharedItems/>
    </cacheField>
    <cacheField name="Doctor Name" numFmtId="0">
      <sharedItems/>
    </cacheField>
    <cacheField name="Gender" numFmtId="0">
      <sharedItems/>
    </cacheField>
    <cacheField name="Age" numFmtId="0">
      <sharedItems containsSemiMixedTypes="0" containsString="0" containsNumber="1" containsInteger="1" minValue="1" maxValue="85"/>
    </cacheField>
    <cacheField name="Treatment Cost" numFmtId="0">
      <sharedItems containsSemiMixedTypes="0" containsString="0" containsNumber="1" containsInteger="1" minValue="15079" maxValue="199301"/>
    </cacheField>
    <cacheField name="Hospital Stay (Days)" numFmtId="0">
      <sharedItems containsSemiMixedTypes="0" containsString="0" containsNumber="1" containsInteger="1" minValue="3" maxValue="30"/>
    </cacheField>
    <cacheField name="Recovery Score" numFmtId="0">
      <sharedItems containsSemiMixedTypes="0" containsString="0" containsNumber="1" containsInteger="1" minValue="50" maxValue="95"/>
    </cacheField>
    <cacheField name="Cost Category" numFmtId="0">
      <sharedItems/>
    </cacheField>
    <cacheField name="Age Group" numFmtId="0">
      <sharedItems count="8">
        <s v="Adult"/>
        <s v="Senior"/>
        <s v="Infant / Toddler"/>
        <s v="Middle-aged"/>
        <s v="Young Adult"/>
        <s v="Child"/>
        <s v="Elderly"/>
        <s v="Teenage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LL" refreshedDate="46211.141686689814" createdVersion="8" refreshedVersion="8" minRefreshableVersion="3" recordCount="500" xr:uid="{C9FE0635-5FF6-464A-88E1-B14632A5DB67}">
  <cacheSource type="worksheet">
    <worksheetSource ref="A1:I501" sheet="Patient_Data"/>
  </cacheSource>
  <cacheFields count="9">
    <cacheField name="Patient ID" numFmtId="0">
      <sharedItems/>
    </cacheField>
    <cacheField name="Department" numFmtId="0">
      <sharedItems count="6">
        <s v="Neurology"/>
        <s v="Gastroenterology"/>
        <s v="Cardiology"/>
        <s v="Pediatrics"/>
        <s v="Orthopedics"/>
        <s v="Oncology"/>
      </sharedItems>
    </cacheField>
    <cacheField name="Treatment Type" numFmtId="0">
      <sharedItems count="4">
        <s v="Medication"/>
        <s v="Therapy"/>
        <s v="Observation"/>
        <s v="Surgery"/>
      </sharedItems>
    </cacheField>
    <cacheField name="Doctor Name" numFmtId="0">
      <sharedItems count="5">
        <s v="Dr. R. Singh"/>
        <s v="Dr. L. Khan"/>
        <s v="Dr. M. Patel"/>
        <s v="Dr. A. Sharma"/>
        <s v="Dr. T. Mehta"/>
      </sharedItems>
    </cacheField>
    <cacheField name="Gender" numFmtId="0">
      <sharedItems count="3">
        <s v="Male"/>
        <s v="Female"/>
        <s v="Other"/>
      </sharedItems>
    </cacheField>
    <cacheField name="Age" numFmtId="0">
      <sharedItems containsSemiMixedTypes="0" containsString="0" containsNumber="1" containsInteger="1" minValue="1" maxValue="85"/>
    </cacheField>
    <cacheField name="Treatment Cost" numFmtId="164">
      <sharedItems containsSemiMixedTypes="0" containsString="0" containsNumber="1" containsInteger="1" minValue="15079" maxValue="199301"/>
    </cacheField>
    <cacheField name="Hospital Stay (Days)" numFmtId="0">
      <sharedItems containsSemiMixedTypes="0" containsString="0" containsNumber="1" containsInteger="1" minValue="3" maxValue="30"/>
    </cacheField>
    <cacheField name="Recovery Score" numFmtId="0">
      <sharedItems containsSemiMixedTypes="0" containsString="0" containsNumber="1" containsInteger="1" minValue="50" maxValue="95"/>
    </cacheField>
  </cacheFields>
  <extLst>
    <ext xmlns:x14="http://schemas.microsoft.com/office/spreadsheetml/2009/9/main" uri="{725AE2AE-9491-48be-B2B4-4EB974FC3084}">
      <x14:pivotCacheDefinition pivotCacheId="1924154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P001"/>
    <s v="Neurology"/>
    <s v="Medication"/>
    <s v="Dr. R. Singh"/>
    <s v="Male"/>
    <n v="37"/>
    <n v="167119"/>
    <n v="8"/>
    <n v="92"/>
    <x v="0"/>
  </r>
  <r>
    <s v="P002"/>
    <s v="Gastroenterology"/>
    <s v="Medication"/>
    <s v="Dr. L. Khan"/>
    <s v="Female"/>
    <n v="71"/>
    <n v="21668"/>
    <n v="20"/>
    <n v="85"/>
    <x v="1"/>
  </r>
  <r>
    <s v="P003"/>
    <s v="Gastroenterology"/>
    <s v="Therapy"/>
    <s v="Dr. M. Patel"/>
    <s v="Male"/>
    <n v="3"/>
    <n v="28596"/>
    <n v="4"/>
    <n v="82"/>
    <x v="1"/>
  </r>
  <r>
    <s v="P004"/>
    <s v="Cardiology"/>
    <s v="Medication"/>
    <s v="Dr. L. Khan"/>
    <s v="Female"/>
    <n v="42"/>
    <n v="133591"/>
    <n v="12"/>
    <n v="73"/>
    <x v="0"/>
  </r>
  <r>
    <s v="P005"/>
    <s v="Pediatrics"/>
    <s v="Therapy"/>
    <s v="Dr. A. Sharma"/>
    <s v="Female"/>
    <n v="73"/>
    <n v="163495"/>
    <n v="24"/>
    <n v="53"/>
    <x v="0"/>
  </r>
  <r>
    <s v="P006"/>
    <s v="Orthopedics"/>
    <s v="Observation"/>
    <s v="Dr. A. Sharma"/>
    <s v="Male"/>
    <n v="31"/>
    <n v="176667"/>
    <n v="13"/>
    <n v="73"/>
    <x v="0"/>
  </r>
  <r>
    <s v="P007"/>
    <s v="Orthopedics"/>
    <s v="Therapy"/>
    <s v="Dr. R. Singh"/>
    <s v="Female"/>
    <n v="69"/>
    <n v="22784"/>
    <n v="24"/>
    <n v="57"/>
    <x v="1"/>
  </r>
  <r>
    <s v="P008"/>
    <s v="Pediatrics"/>
    <s v="Medication"/>
    <s v="Dr. A. Sharma"/>
    <s v="Male"/>
    <n v="34"/>
    <n v="131608"/>
    <n v="4"/>
    <n v="77"/>
    <x v="0"/>
  </r>
  <r>
    <s v="P009"/>
    <s v="Gastroenterology"/>
    <s v="Surgery"/>
    <s v="Dr. T. Mehta"/>
    <s v="Female"/>
    <n v="54"/>
    <n v="139591"/>
    <n v="23"/>
    <n v="95"/>
    <x v="0"/>
  </r>
  <r>
    <s v="P010"/>
    <s v="Orthopedics"/>
    <s v="Surgery"/>
    <s v="Dr. L. Khan"/>
    <s v="Female"/>
    <n v="29"/>
    <n v="166033"/>
    <n v="27"/>
    <n v="74"/>
    <x v="0"/>
  </r>
  <r>
    <s v="P011"/>
    <s v="Gastroenterology"/>
    <s v="Surgery"/>
    <s v="Dr. L. Khan"/>
    <s v="Male"/>
    <n v="9"/>
    <n v="88354"/>
    <n v="6"/>
    <n v="84"/>
    <x v="0"/>
  </r>
  <r>
    <s v="P012"/>
    <s v="Oncology"/>
    <s v="Therapy"/>
    <s v="Dr. L. Khan"/>
    <s v="Female"/>
    <n v="80"/>
    <n v="195118"/>
    <n v="26"/>
    <n v="59"/>
    <x v="0"/>
  </r>
  <r>
    <s v="P013"/>
    <s v="Neurology"/>
    <s v="Therapy"/>
    <s v="Dr. M. Patel"/>
    <s v="Female"/>
    <n v="50"/>
    <n v="47354"/>
    <n v="19"/>
    <n v="64"/>
    <x v="1"/>
  </r>
  <r>
    <s v="P014"/>
    <s v="Cardiology"/>
    <s v="Therapy"/>
    <s v="Dr. T. Mehta"/>
    <s v="Female"/>
    <n v="82"/>
    <n v="191304"/>
    <n v="13"/>
    <n v="59"/>
    <x v="0"/>
  </r>
  <r>
    <s v="P015"/>
    <s v="Oncology"/>
    <s v="Therapy"/>
    <s v="Dr. M. Patel"/>
    <s v="Female"/>
    <n v="9"/>
    <n v="189177"/>
    <n v="15"/>
    <n v="64"/>
    <x v="0"/>
  </r>
  <r>
    <s v="P016"/>
    <s v="Gastroenterology"/>
    <s v="Therapy"/>
    <s v="Dr. T. Mehta"/>
    <s v="Other"/>
    <n v="82"/>
    <n v="98912"/>
    <n v="7"/>
    <n v="81"/>
    <x v="0"/>
  </r>
  <r>
    <s v="P017"/>
    <s v="Neurology"/>
    <s v="Medication"/>
    <s v="Dr. R. Singh"/>
    <s v="Male"/>
    <n v="52"/>
    <n v="104049"/>
    <n v="6"/>
    <n v="95"/>
    <x v="0"/>
  </r>
  <r>
    <s v="P018"/>
    <s v="Neurology"/>
    <s v="Surgery"/>
    <s v="Dr. M. Patel"/>
    <s v="Female"/>
    <n v="29"/>
    <n v="36424"/>
    <n v="14"/>
    <n v="94"/>
    <x v="1"/>
  </r>
  <r>
    <s v="P019"/>
    <s v="Neurology"/>
    <s v="Surgery"/>
    <s v="Dr. A. Sharma"/>
    <s v="Female"/>
    <n v="72"/>
    <n v="132986"/>
    <n v="20"/>
    <n v="57"/>
    <x v="0"/>
  </r>
  <r>
    <s v="P020"/>
    <s v="Neurology"/>
    <s v="Observation"/>
    <s v="Dr. A. Sharma"/>
    <s v="Other"/>
    <n v="52"/>
    <n v="62233"/>
    <n v="13"/>
    <n v="92"/>
    <x v="0"/>
  </r>
  <r>
    <s v="P021"/>
    <s v="Cardiology"/>
    <s v="Medication"/>
    <s v="Dr. L. Khan"/>
    <s v="Male"/>
    <n v="84"/>
    <n v="57606"/>
    <n v="11"/>
    <n v="59"/>
    <x v="0"/>
  </r>
  <r>
    <s v="P022"/>
    <s v="Pediatrics"/>
    <s v="Surgery"/>
    <s v="Dr. T. Mehta"/>
    <s v="Female"/>
    <n v="25"/>
    <n v="140610"/>
    <n v="13"/>
    <n v="68"/>
    <x v="0"/>
  </r>
  <r>
    <s v="P023"/>
    <s v="Neurology"/>
    <s v="Observation"/>
    <s v="Dr. T. Mehta"/>
    <s v="Male"/>
    <n v="47"/>
    <n v="78281"/>
    <n v="17"/>
    <n v="78"/>
    <x v="0"/>
  </r>
  <r>
    <s v="P024"/>
    <s v="Oncology"/>
    <s v="Medication"/>
    <s v="Dr. T. Mehta"/>
    <s v="Female"/>
    <n v="38"/>
    <n v="66707"/>
    <n v="19"/>
    <n v="80"/>
    <x v="0"/>
  </r>
  <r>
    <s v="P025"/>
    <s v="Cardiology"/>
    <s v="Medication"/>
    <s v="Dr. R. Singh"/>
    <s v="Male"/>
    <n v="64"/>
    <n v="168778"/>
    <n v="7"/>
    <n v="90"/>
    <x v="0"/>
  </r>
  <r>
    <s v="P026"/>
    <s v="Pediatrics"/>
    <s v="Medication"/>
    <s v="Dr. A. Sharma"/>
    <s v="Female"/>
    <n v="60"/>
    <n v="61181"/>
    <n v="18"/>
    <n v="86"/>
    <x v="0"/>
  </r>
  <r>
    <s v="P027"/>
    <s v="Orthopedics"/>
    <s v="Surgery"/>
    <s v="Dr. L. Khan"/>
    <s v="Male"/>
    <n v="48"/>
    <n v="99996"/>
    <n v="17"/>
    <n v="50"/>
    <x v="0"/>
  </r>
  <r>
    <s v="P028"/>
    <s v="Oncology"/>
    <s v="Therapy"/>
    <s v="Dr. T. Mehta"/>
    <s v="Male"/>
    <n v="26"/>
    <n v="26541"/>
    <n v="15"/>
    <n v="82"/>
    <x v="1"/>
  </r>
  <r>
    <s v="P029"/>
    <s v="Orthopedics"/>
    <s v="Surgery"/>
    <s v="Dr. T. Mehta"/>
    <s v="Male"/>
    <n v="70"/>
    <n v="29017"/>
    <n v="3"/>
    <n v="82"/>
    <x v="1"/>
  </r>
  <r>
    <s v="P030"/>
    <s v="Oncology"/>
    <s v="Therapy"/>
    <s v="Dr. T. Mehta"/>
    <s v="Female"/>
    <n v="25"/>
    <n v="56689"/>
    <n v="19"/>
    <n v="91"/>
    <x v="0"/>
  </r>
  <r>
    <s v="P031"/>
    <s v="Pediatrics"/>
    <s v="Observation"/>
    <s v="Dr. M. Patel"/>
    <s v="Female"/>
    <n v="75"/>
    <n v="30104"/>
    <n v="12"/>
    <n v="63"/>
    <x v="1"/>
  </r>
  <r>
    <s v="P032"/>
    <s v="Orthopedics"/>
    <s v="Observation"/>
    <s v="Dr. T. Mehta"/>
    <s v="Female"/>
    <n v="64"/>
    <n v="186428"/>
    <n v="29"/>
    <n v="51"/>
    <x v="0"/>
  </r>
  <r>
    <s v="P033"/>
    <s v="Neurology"/>
    <s v="Medication"/>
    <s v="Dr. R. Singh"/>
    <s v="Female"/>
    <n v="43"/>
    <n v="198390"/>
    <n v="5"/>
    <n v="63"/>
    <x v="0"/>
  </r>
  <r>
    <s v="P034"/>
    <s v="Orthopedics"/>
    <s v="Surgery"/>
    <s v="Dr. L. Khan"/>
    <s v="Female"/>
    <n v="73"/>
    <n v="87668"/>
    <n v="17"/>
    <n v="56"/>
    <x v="0"/>
  </r>
  <r>
    <s v="P035"/>
    <s v="Neurology"/>
    <s v="Surgery"/>
    <s v="Dr. T. Mehta"/>
    <s v="Female"/>
    <n v="58"/>
    <n v="192660"/>
    <n v="16"/>
    <n v="59"/>
    <x v="0"/>
  </r>
  <r>
    <s v="P036"/>
    <s v="Oncology"/>
    <s v="Therapy"/>
    <s v="Dr. M. Patel"/>
    <s v="Female"/>
    <n v="10"/>
    <n v="26986"/>
    <n v="4"/>
    <n v="87"/>
    <x v="1"/>
  </r>
  <r>
    <s v="P037"/>
    <s v="Cardiology"/>
    <s v="Surgery"/>
    <s v="Dr. A. Sharma"/>
    <s v="Female"/>
    <n v="37"/>
    <n v="46357"/>
    <n v="6"/>
    <n v="91"/>
    <x v="1"/>
  </r>
  <r>
    <s v="P038"/>
    <s v="Cardiology"/>
    <s v="Observation"/>
    <s v="Dr. L. Khan"/>
    <s v="Male"/>
    <n v="46"/>
    <n v="134575"/>
    <n v="7"/>
    <n v="83"/>
    <x v="0"/>
  </r>
  <r>
    <s v="P039"/>
    <s v="Oncology"/>
    <s v="Observation"/>
    <s v="Dr. M. Patel"/>
    <s v="Male"/>
    <n v="82"/>
    <n v="131767"/>
    <n v="11"/>
    <n v="82"/>
    <x v="0"/>
  </r>
  <r>
    <s v="P040"/>
    <s v="Cardiology"/>
    <s v="Observation"/>
    <s v="Dr. L. Khan"/>
    <s v="Female"/>
    <n v="53"/>
    <n v="62796"/>
    <n v="8"/>
    <n v="92"/>
    <x v="0"/>
  </r>
  <r>
    <s v="P041"/>
    <s v="Pediatrics"/>
    <s v="Surgery"/>
    <s v="Dr. T. Mehta"/>
    <s v="Male"/>
    <n v="19"/>
    <n v="21765"/>
    <n v="20"/>
    <n v="72"/>
    <x v="1"/>
  </r>
  <r>
    <s v="P042"/>
    <s v="Neurology"/>
    <s v="Observation"/>
    <s v="Dr. A. Sharma"/>
    <s v="Male"/>
    <n v="20"/>
    <n v="192023"/>
    <n v="14"/>
    <n v="79"/>
    <x v="0"/>
  </r>
  <r>
    <s v="P043"/>
    <s v="Cardiology"/>
    <s v="Therapy"/>
    <s v="Dr. A. Sharma"/>
    <s v="Male"/>
    <n v="24"/>
    <n v="161475"/>
    <n v="18"/>
    <n v="71"/>
    <x v="0"/>
  </r>
  <r>
    <s v="P044"/>
    <s v="Neurology"/>
    <s v="Therapy"/>
    <s v="Dr. L. Khan"/>
    <s v="Female"/>
    <n v="51"/>
    <n v="48789"/>
    <n v="30"/>
    <n v="92"/>
    <x v="1"/>
  </r>
  <r>
    <s v="P045"/>
    <s v="Oncology"/>
    <s v="Surgery"/>
    <s v="Dr. L. Khan"/>
    <s v="Male"/>
    <n v="78"/>
    <n v="124093"/>
    <n v="21"/>
    <n v="90"/>
    <x v="0"/>
  </r>
  <r>
    <s v="P046"/>
    <s v="Gastroenterology"/>
    <s v="Surgery"/>
    <s v="Dr. T. Mehta"/>
    <s v="Female"/>
    <n v="47"/>
    <n v="125840"/>
    <n v="12"/>
    <n v="74"/>
    <x v="0"/>
  </r>
  <r>
    <s v="P047"/>
    <s v="Pediatrics"/>
    <s v="Surgery"/>
    <s v="Dr. T. Mehta"/>
    <s v="Female"/>
    <n v="39"/>
    <n v="98947"/>
    <n v="16"/>
    <n v="81"/>
    <x v="0"/>
  </r>
  <r>
    <s v="P048"/>
    <s v="Pediatrics"/>
    <s v="Medication"/>
    <s v="Dr. A. Sharma"/>
    <s v="Female"/>
    <n v="22"/>
    <n v="52656"/>
    <n v="4"/>
    <n v="66"/>
    <x v="1"/>
  </r>
  <r>
    <s v="P049"/>
    <s v="Oncology"/>
    <s v="Surgery"/>
    <s v="Dr. T. Mehta"/>
    <s v="Female"/>
    <n v="6"/>
    <n v="186434"/>
    <n v="15"/>
    <n v="52"/>
    <x v="0"/>
  </r>
  <r>
    <s v="P050"/>
    <s v="Orthopedics"/>
    <s v="Medication"/>
    <s v="Dr. A. Sharma"/>
    <s v="Male"/>
    <n v="15"/>
    <n v="120240"/>
    <n v="30"/>
    <n v="81"/>
    <x v="0"/>
  </r>
  <r>
    <s v="P051"/>
    <s v="Oncology"/>
    <s v="Observation"/>
    <s v="Dr. T. Mehta"/>
    <s v="Male"/>
    <n v="80"/>
    <n v="39688"/>
    <n v="26"/>
    <n v="73"/>
    <x v="1"/>
  </r>
  <r>
    <s v="P052"/>
    <s v="Pediatrics"/>
    <s v="Surgery"/>
    <s v="Dr. R. Singh"/>
    <s v="Male"/>
    <n v="21"/>
    <n v="101611"/>
    <n v="27"/>
    <n v="89"/>
    <x v="0"/>
  </r>
  <r>
    <s v="P053"/>
    <s v="Gastroenterology"/>
    <s v="Therapy"/>
    <s v="Dr. L. Khan"/>
    <s v="Male"/>
    <n v="9"/>
    <n v="190841"/>
    <n v="7"/>
    <n v="64"/>
    <x v="0"/>
  </r>
  <r>
    <s v="P054"/>
    <s v="Pediatrics"/>
    <s v="Medication"/>
    <s v="Dr. M. Patel"/>
    <s v="Male"/>
    <n v="79"/>
    <n v="134086"/>
    <n v="3"/>
    <n v="67"/>
    <x v="0"/>
  </r>
  <r>
    <s v="P055"/>
    <s v="Cardiology"/>
    <s v="Observation"/>
    <s v="Dr. L. Khan"/>
    <s v="Male"/>
    <n v="47"/>
    <n v="176725"/>
    <n v="15"/>
    <n v="85"/>
    <x v="0"/>
  </r>
  <r>
    <s v="P056"/>
    <s v="Gastroenterology"/>
    <s v="Surgery"/>
    <s v="Dr. M. Patel"/>
    <s v="Male"/>
    <n v="72"/>
    <n v="19696"/>
    <n v="6"/>
    <n v="93"/>
    <x v="1"/>
  </r>
  <r>
    <s v="P057"/>
    <s v="Pediatrics"/>
    <s v="Medication"/>
    <s v="Dr. L. Khan"/>
    <s v="Female"/>
    <n v="84"/>
    <n v="150623"/>
    <n v="5"/>
    <n v="70"/>
    <x v="0"/>
  </r>
  <r>
    <s v="P058"/>
    <s v="Orthopedics"/>
    <s v="Medication"/>
    <s v="Dr. A. Sharma"/>
    <s v="Male"/>
    <n v="41"/>
    <n v="127535"/>
    <n v="22"/>
    <n v="81"/>
    <x v="0"/>
  </r>
  <r>
    <s v="P059"/>
    <s v="Cardiology"/>
    <s v="Observation"/>
    <s v="Dr. T. Mehta"/>
    <s v="Male"/>
    <n v="63"/>
    <n v="47622"/>
    <n v="27"/>
    <n v="91"/>
    <x v="1"/>
  </r>
  <r>
    <s v="P060"/>
    <s v="Cardiology"/>
    <s v="Observation"/>
    <s v="Dr. R. Singh"/>
    <s v="Male"/>
    <n v="22"/>
    <n v="152274"/>
    <n v="17"/>
    <n v="91"/>
    <x v="0"/>
  </r>
  <r>
    <s v="P061"/>
    <s v="Cardiology"/>
    <s v="Surgery"/>
    <s v="Dr. R. Singh"/>
    <s v="Male"/>
    <n v="28"/>
    <n v="172026"/>
    <n v="28"/>
    <n v="90"/>
    <x v="0"/>
  </r>
  <r>
    <s v="P062"/>
    <s v="Oncology"/>
    <s v="Observation"/>
    <s v="Dr. M. Patel"/>
    <s v="Female"/>
    <n v="18"/>
    <n v="91976"/>
    <n v="21"/>
    <n v="79"/>
    <x v="0"/>
  </r>
  <r>
    <s v="P063"/>
    <s v="Gastroenterology"/>
    <s v="Observation"/>
    <s v="Dr. M. Patel"/>
    <s v="Male"/>
    <n v="29"/>
    <n v="184942"/>
    <n v="4"/>
    <n v="59"/>
    <x v="0"/>
  </r>
  <r>
    <s v="P064"/>
    <s v="Pediatrics"/>
    <s v="Observation"/>
    <s v="Dr. R. Singh"/>
    <s v="Male"/>
    <n v="53"/>
    <n v="192320"/>
    <n v="3"/>
    <n v="85"/>
    <x v="0"/>
  </r>
  <r>
    <s v="P065"/>
    <s v="Neurology"/>
    <s v="Observation"/>
    <s v="Dr. L. Khan"/>
    <s v="Female"/>
    <n v="9"/>
    <n v="124494"/>
    <n v="10"/>
    <n v="81"/>
    <x v="0"/>
  </r>
  <r>
    <s v="P066"/>
    <s v="Pediatrics"/>
    <s v="Observation"/>
    <s v="Dr. M. Patel"/>
    <s v="Male"/>
    <n v="61"/>
    <n v="183650"/>
    <n v="5"/>
    <n v="89"/>
    <x v="0"/>
  </r>
  <r>
    <s v="P067"/>
    <s v="Pediatrics"/>
    <s v="Observation"/>
    <s v="Dr. R. Singh"/>
    <s v="Female"/>
    <n v="80"/>
    <n v="63190"/>
    <n v="28"/>
    <n v="60"/>
    <x v="0"/>
  </r>
  <r>
    <s v="P068"/>
    <s v="Pediatrics"/>
    <s v="Therapy"/>
    <s v="Dr. A. Sharma"/>
    <s v="Female"/>
    <n v="68"/>
    <n v="155594"/>
    <n v="7"/>
    <n v="52"/>
    <x v="0"/>
  </r>
  <r>
    <s v="P069"/>
    <s v="Gastroenterology"/>
    <s v="Therapy"/>
    <s v="Dr. L. Khan"/>
    <s v="Female"/>
    <n v="74"/>
    <n v="106999"/>
    <n v="7"/>
    <n v="88"/>
    <x v="0"/>
  </r>
  <r>
    <s v="P070"/>
    <s v="Orthopedics"/>
    <s v="Therapy"/>
    <s v="Dr. A. Sharma"/>
    <s v="Male"/>
    <n v="23"/>
    <n v="70145"/>
    <n v="9"/>
    <n v="68"/>
    <x v="0"/>
  </r>
  <r>
    <s v="P071"/>
    <s v="Neurology"/>
    <s v="Therapy"/>
    <s v="Dr. T. Mehta"/>
    <s v="Female"/>
    <n v="49"/>
    <n v="100843"/>
    <n v="9"/>
    <n v="66"/>
    <x v="0"/>
  </r>
  <r>
    <s v="P072"/>
    <s v="Orthopedics"/>
    <s v="Therapy"/>
    <s v="Dr. R. Singh"/>
    <s v="Male"/>
    <n v="72"/>
    <n v="161955"/>
    <n v="10"/>
    <n v="91"/>
    <x v="0"/>
  </r>
  <r>
    <s v="P073"/>
    <s v="Neurology"/>
    <s v="Observation"/>
    <s v="Dr. L. Khan"/>
    <s v="Female"/>
    <n v="53"/>
    <n v="66194"/>
    <n v="5"/>
    <n v="52"/>
    <x v="0"/>
  </r>
  <r>
    <s v="P074"/>
    <s v="Pediatrics"/>
    <s v="Therapy"/>
    <s v="Dr. M. Patel"/>
    <s v="Male"/>
    <n v="71"/>
    <n v="92027"/>
    <n v="28"/>
    <n v="76"/>
    <x v="0"/>
  </r>
  <r>
    <s v="P075"/>
    <s v="Pediatrics"/>
    <s v="Surgery"/>
    <s v="Dr. R. Singh"/>
    <s v="Female"/>
    <n v="47"/>
    <n v="35293"/>
    <n v="9"/>
    <n v="87"/>
    <x v="1"/>
  </r>
  <r>
    <s v="P076"/>
    <s v="Orthopedics"/>
    <s v="Surgery"/>
    <s v="Dr. M. Patel"/>
    <s v="Female"/>
    <n v="67"/>
    <n v="146438"/>
    <n v="7"/>
    <n v="60"/>
    <x v="0"/>
  </r>
  <r>
    <s v="P077"/>
    <s v="Oncology"/>
    <s v="Medication"/>
    <s v="Dr. A. Sharma"/>
    <s v="Female"/>
    <n v="63"/>
    <n v="162203"/>
    <n v="11"/>
    <n v="59"/>
    <x v="0"/>
  </r>
  <r>
    <s v="P078"/>
    <s v="Neurology"/>
    <s v="Therapy"/>
    <s v="Dr. A. Sharma"/>
    <s v="Male"/>
    <n v="35"/>
    <n v="179115"/>
    <n v="28"/>
    <n v="54"/>
    <x v="0"/>
  </r>
  <r>
    <s v="P079"/>
    <s v="Cardiology"/>
    <s v="Therapy"/>
    <s v="Dr. R. Singh"/>
    <s v="Male"/>
    <n v="9"/>
    <n v="146103"/>
    <n v="24"/>
    <n v="85"/>
    <x v="0"/>
  </r>
  <r>
    <s v="P080"/>
    <s v="Neurology"/>
    <s v="Surgery"/>
    <s v="Dr. M. Patel"/>
    <s v="Female"/>
    <n v="36"/>
    <n v="119209"/>
    <n v="17"/>
    <n v="78"/>
    <x v="0"/>
  </r>
  <r>
    <s v="P081"/>
    <s v="Pediatrics"/>
    <s v="Surgery"/>
    <s v="Dr. T. Mehta"/>
    <s v="Female"/>
    <n v="60"/>
    <n v="152482"/>
    <n v="17"/>
    <n v="67"/>
    <x v="0"/>
  </r>
  <r>
    <s v="P082"/>
    <s v="Gastroenterology"/>
    <s v="Therapy"/>
    <s v="Dr. A. Sharma"/>
    <s v="Female"/>
    <n v="25"/>
    <n v="72067"/>
    <n v="7"/>
    <n v="62"/>
    <x v="0"/>
  </r>
  <r>
    <s v="P083"/>
    <s v="Orthopedics"/>
    <s v="Medication"/>
    <s v="Dr. R. Singh"/>
    <s v="Male"/>
    <n v="3"/>
    <n v="76800"/>
    <n v="7"/>
    <n v="92"/>
    <x v="0"/>
  </r>
  <r>
    <s v="P084"/>
    <s v="Pediatrics"/>
    <s v="Observation"/>
    <s v="Dr. T. Mehta"/>
    <s v="Female"/>
    <n v="79"/>
    <n v="190486"/>
    <n v="16"/>
    <n v="93"/>
    <x v="0"/>
  </r>
  <r>
    <s v="P085"/>
    <s v="Neurology"/>
    <s v="Medication"/>
    <s v="Dr. A. Sharma"/>
    <s v="Male"/>
    <n v="17"/>
    <n v="29965"/>
    <n v="20"/>
    <n v="57"/>
    <x v="1"/>
  </r>
  <r>
    <s v="P086"/>
    <s v="Pediatrics"/>
    <s v="Surgery"/>
    <s v="Dr. L. Khan"/>
    <s v="Female"/>
    <n v="26"/>
    <n v="128566"/>
    <n v="7"/>
    <n v="92"/>
    <x v="0"/>
  </r>
  <r>
    <s v="P087"/>
    <s v="Cardiology"/>
    <s v="Therapy"/>
    <s v="Dr. T. Mehta"/>
    <s v="Female"/>
    <n v="11"/>
    <n v="80089"/>
    <n v="4"/>
    <n v="79"/>
    <x v="0"/>
  </r>
  <r>
    <s v="P088"/>
    <s v="Cardiology"/>
    <s v="Therapy"/>
    <s v="Dr. A. Sharma"/>
    <s v="Male"/>
    <n v="62"/>
    <n v="190461"/>
    <n v="26"/>
    <n v="65"/>
    <x v="0"/>
  </r>
  <r>
    <s v="P089"/>
    <s v="Pediatrics"/>
    <s v="Surgery"/>
    <s v="Dr. M. Patel"/>
    <s v="Female"/>
    <n v="15"/>
    <n v="98934"/>
    <n v="6"/>
    <n v="91"/>
    <x v="0"/>
  </r>
  <r>
    <s v="P090"/>
    <s v="Gastroenterology"/>
    <s v="Therapy"/>
    <s v="Dr. L. Khan"/>
    <s v="Female"/>
    <n v="6"/>
    <n v="24688"/>
    <n v="19"/>
    <n v="91"/>
    <x v="1"/>
  </r>
  <r>
    <s v="P091"/>
    <s v="Orthopedics"/>
    <s v="Therapy"/>
    <s v="Dr. M. Patel"/>
    <s v="Male"/>
    <n v="40"/>
    <n v="54856"/>
    <n v="13"/>
    <n v="91"/>
    <x v="1"/>
  </r>
  <r>
    <s v="P092"/>
    <s v="Orthopedics"/>
    <s v="Observation"/>
    <s v="Dr. L. Khan"/>
    <s v="Male"/>
    <n v="28"/>
    <n v="150371"/>
    <n v="23"/>
    <n v="71"/>
    <x v="0"/>
  </r>
  <r>
    <s v="P093"/>
    <s v="Pediatrics"/>
    <s v="Therapy"/>
    <s v="Dr. M. Patel"/>
    <s v="Female"/>
    <n v="13"/>
    <n v="187266"/>
    <n v="5"/>
    <n v="92"/>
    <x v="0"/>
  </r>
  <r>
    <s v="P094"/>
    <s v="Neurology"/>
    <s v="Medication"/>
    <s v="Dr. L. Khan"/>
    <s v="Male"/>
    <n v="81"/>
    <n v="84198"/>
    <n v="16"/>
    <n v="87"/>
    <x v="0"/>
  </r>
  <r>
    <s v="P095"/>
    <s v="Pediatrics"/>
    <s v="Surgery"/>
    <s v="Dr. L. Khan"/>
    <s v="Male"/>
    <n v="57"/>
    <n v="55722"/>
    <n v="4"/>
    <n v="90"/>
    <x v="0"/>
  </r>
  <r>
    <s v="P096"/>
    <s v="Gastroenterology"/>
    <s v="Medication"/>
    <s v="Dr. T. Mehta"/>
    <s v="Male"/>
    <n v="35"/>
    <n v="186498"/>
    <n v="14"/>
    <n v="63"/>
    <x v="0"/>
  </r>
  <r>
    <s v="P097"/>
    <s v="Pediatrics"/>
    <s v="Therapy"/>
    <s v="Dr. T. Mehta"/>
    <s v="Male"/>
    <n v="68"/>
    <n v="162136"/>
    <n v="27"/>
    <n v="89"/>
    <x v="0"/>
  </r>
  <r>
    <s v="P098"/>
    <s v="Neurology"/>
    <s v="Observation"/>
    <s v="Dr. A. Sharma"/>
    <s v="Female"/>
    <n v="20"/>
    <n v="26200"/>
    <n v="13"/>
    <n v="94"/>
    <x v="1"/>
  </r>
  <r>
    <s v="P099"/>
    <s v="Orthopedics"/>
    <s v="Observation"/>
    <s v="Dr. M. Patel"/>
    <s v="Female"/>
    <n v="81"/>
    <n v="148284"/>
    <n v="8"/>
    <n v="68"/>
    <x v="0"/>
  </r>
  <r>
    <s v="P100"/>
    <s v="Pediatrics"/>
    <s v="Observation"/>
    <s v="Dr. L. Khan"/>
    <s v="Male"/>
    <n v="75"/>
    <n v="92383"/>
    <n v="14"/>
    <n v="73"/>
    <x v="0"/>
  </r>
  <r>
    <s v="P101"/>
    <s v="Oncology"/>
    <s v="Therapy"/>
    <s v="Dr. L. Khan"/>
    <s v="Male"/>
    <n v="48"/>
    <n v="35633"/>
    <n v="20"/>
    <n v="89"/>
    <x v="1"/>
  </r>
  <r>
    <s v="P102"/>
    <s v="Orthopedics"/>
    <s v="Surgery"/>
    <s v="Dr. A. Sharma"/>
    <s v="Female"/>
    <n v="85"/>
    <n v="150104"/>
    <n v="21"/>
    <n v="95"/>
    <x v="0"/>
  </r>
  <r>
    <s v="P103"/>
    <s v="Gastroenterology"/>
    <s v="Therapy"/>
    <s v="Dr. L. Khan"/>
    <s v="Female"/>
    <n v="23"/>
    <n v="48056"/>
    <n v="16"/>
    <n v="76"/>
    <x v="1"/>
  </r>
  <r>
    <s v="P104"/>
    <s v="Neurology"/>
    <s v="Surgery"/>
    <s v="Dr. T. Mehta"/>
    <s v="Female"/>
    <n v="56"/>
    <n v="44253"/>
    <n v="23"/>
    <n v="85"/>
    <x v="1"/>
  </r>
  <r>
    <s v="P105"/>
    <s v="Orthopedics"/>
    <s v="Medication"/>
    <s v="Dr. L. Khan"/>
    <s v="Female"/>
    <n v="5"/>
    <n v="138456"/>
    <n v="10"/>
    <n v="61"/>
    <x v="0"/>
  </r>
  <r>
    <s v="P106"/>
    <s v="Oncology"/>
    <s v="Observation"/>
    <s v="Dr. T. Mehta"/>
    <s v="Male"/>
    <n v="58"/>
    <n v="158525"/>
    <n v="5"/>
    <n v="72"/>
    <x v="0"/>
  </r>
  <r>
    <s v="P107"/>
    <s v="Cardiology"/>
    <s v="Therapy"/>
    <s v="Dr. R. Singh"/>
    <s v="Male"/>
    <n v="39"/>
    <n v="38377"/>
    <n v="4"/>
    <n v="63"/>
    <x v="1"/>
  </r>
  <r>
    <s v="P108"/>
    <s v="Pediatrics"/>
    <s v="Surgery"/>
    <s v="Dr. A. Sharma"/>
    <s v="Male"/>
    <n v="42"/>
    <n v="111388"/>
    <n v="29"/>
    <n v="64"/>
    <x v="0"/>
  </r>
  <r>
    <s v="P109"/>
    <s v="Orthopedics"/>
    <s v="Surgery"/>
    <s v="Dr. T. Mehta"/>
    <s v="Male"/>
    <n v="29"/>
    <n v="124056"/>
    <n v="5"/>
    <n v="68"/>
    <x v="0"/>
  </r>
  <r>
    <s v="P110"/>
    <s v="Neurology"/>
    <s v="Therapy"/>
    <s v="Dr. T. Mehta"/>
    <s v="Male"/>
    <n v="45"/>
    <n v="43096"/>
    <n v="20"/>
    <n v="61"/>
    <x v="1"/>
  </r>
  <r>
    <s v="P111"/>
    <s v="Cardiology"/>
    <s v="Surgery"/>
    <s v="Dr. T. Mehta"/>
    <s v="Female"/>
    <n v="60"/>
    <n v="170881"/>
    <n v="30"/>
    <n v="82"/>
    <x v="0"/>
  </r>
  <r>
    <s v="P112"/>
    <s v="Neurology"/>
    <s v="Therapy"/>
    <s v="Dr. M. Patel"/>
    <s v="Male"/>
    <n v="83"/>
    <n v="171323"/>
    <n v="9"/>
    <n v="68"/>
    <x v="0"/>
  </r>
  <r>
    <s v="P113"/>
    <s v="Pediatrics"/>
    <s v="Surgery"/>
    <s v="Dr. R. Singh"/>
    <s v="Male"/>
    <n v="26"/>
    <n v="132874"/>
    <n v="26"/>
    <n v="77"/>
    <x v="0"/>
  </r>
  <r>
    <s v="P114"/>
    <s v="Neurology"/>
    <s v="Surgery"/>
    <s v="Dr. R. Singh"/>
    <s v="Male"/>
    <n v="13"/>
    <n v="169010"/>
    <n v="11"/>
    <n v="65"/>
    <x v="0"/>
  </r>
  <r>
    <s v="P115"/>
    <s v="Oncology"/>
    <s v="Medication"/>
    <s v="Dr. M. Patel"/>
    <s v="Male"/>
    <n v="44"/>
    <n v="193516"/>
    <n v="15"/>
    <n v="66"/>
    <x v="0"/>
  </r>
  <r>
    <s v="P116"/>
    <s v="Gastroenterology"/>
    <s v="Surgery"/>
    <s v="Dr. R. Singh"/>
    <s v="Female"/>
    <n v="70"/>
    <n v="164581"/>
    <n v="6"/>
    <n v="66"/>
    <x v="0"/>
  </r>
  <r>
    <s v="P117"/>
    <s v="Gastroenterology"/>
    <s v="Therapy"/>
    <s v="Dr. L. Khan"/>
    <s v="Female"/>
    <n v="81"/>
    <n v="41495"/>
    <n v="16"/>
    <n v="90"/>
    <x v="1"/>
  </r>
  <r>
    <s v="P118"/>
    <s v="Gastroenterology"/>
    <s v="Surgery"/>
    <s v="Dr. M. Patel"/>
    <s v="Male"/>
    <n v="81"/>
    <n v="170672"/>
    <n v="9"/>
    <n v="56"/>
    <x v="0"/>
  </r>
  <r>
    <s v="P119"/>
    <s v="Cardiology"/>
    <s v="Surgery"/>
    <s v="Dr. A. Sharma"/>
    <s v="Male"/>
    <n v="73"/>
    <n v="27657"/>
    <n v="17"/>
    <n v="87"/>
    <x v="1"/>
  </r>
  <r>
    <s v="P120"/>
    <s v="Neurology"/>
    <s v="Surgery"/>
    <s v="Dr. R. Singh"/>
    <s v="Female"/>
    <n v="5"/>
    <n v="107526"/>
    <n v="27"/>
    <n v="70"/>
    <x v="0"/>
  </r>
  <r>
    <s v="P121"/>
    <s v="Neurology"/>
    <s v="Medication"/>
    <s v="Dr. L. Khan"/>
    <s v="Male"/>
    <n v="16"/>
    <n v="132833"/>
    <n v="21"/>
    <n v="78"/>
    <x v="0"/>
  </r>
  <r>
    <s v="P122"/>
    <s v="Pediatrics"/>
    <s v="Therapy"/>
    <s v="Dr. L. Khan"/>
    <s v="Female"/>
    <n v="3"/>
    <n v="21639"/>
    <n v="26"/>
    <n v="70"/>
    <x v="1"/>
  </r>
  <r>
    <s v="P123"/>
    <s v="Oncology"/>
    <s v="Surgery"/>
    <s v="Dr. R. Singh"/>
    <s v="Female"/>
    <n v="27"/>
    <n v="48499"/>
    <n v="17"/>
    <n v="95"/>
    <x v="1"/>
  </r>
  <r>
    <s v="P124"/>
    <s v="Neurology"/>
    <s v="Observation"/>
    <s v="Dr. T. Mehta"/>
    <s v="Male"/>
    <n v="24"/>
    <n v="176163"/>
    <n v="29"/>
    <n v="65"/>
    <x v="0"/>
  </r>
  <r>
    <s v="P125"/>
    <s v="Oncology"/>
    <s v="Observation"/>
    <s v="Dr. M. Patel"/>
    <s v="Female"/>
    <n v="44"/>
    <n v="44469"/>
    <n v="4"/>
    <n v="85"/>
    <x v="1"/>
  </r>
  <r>
    <s v="P126"/>
    <s v="Oncology"/>
    <s v="Surgery"/>
    <s v="Dr. L. Khan"/>
    <s v="Female"/>
    <n v="50"/>
    <n v="183513"/>
    <n v="24"/>
    <n v="83"/>
    <x v="0"/>
  </r>
  <r>
    <s v="P127"/>
    <s v="Cardiology"/>
    <s v="Therapy"/>
    <s v="Dr. A. Sharma"/>
    <s v="Male"/>
    <n v="46"/>
    <n v="21466"/>
    <n v="16"/>
    <n v="86"/>
    <x v="1"/>
  </r>
  <r>
    <s v="P128"/>
    <s v="Oncology"/>
    <s v="Surgery"/>
    <s v="Dr. M. Patel"/>
    <s v="Female"/>
    <n v="44"/>
    <n v="79182"/>
    <n v="7"/>
    <n v="90"/>
    <x v="0"/>
  </r>
  <r>
    <s v="P129"/>
    <s v="Cardiology"/>
    <s v="Surgery"/>
    <s v="Dr. M. Patel"/>
    <s v="Female"/>
    <n v="51"/>
    <n v="44905"/>
    <n v="7"/>
    <n v="85"/>
    <x v="1"/>
  </r>
  <r>
    <s v="P130"/>
    <s v="Neurology"/>
    <s v="Medication"/>
    <s v="Dr. T. Mehta"/>
    <s v="Female"/>
    <n v="81"/>
    <n v="15079"/>
    <n v="17"/>
    <n v="68"/>
    <x v="1"/>
  </r>
  <r>
    <s v="P131"/>
    <s v="Pediatrics"/>
    <s v="Surgery"/>
    <s v="Dr. A. Sharma"/>
    <s v="Female"/>
    <n v="80"/>
    <n v="181447"/>
    <n v="21"/>
    <n v="93"/>
    <x v="0"/>
  </r>
  <r>
    <s v="P132"/>
    <s v="Gastroenterology"/>
    <s v="Surgery"/>
    <s v="Dr. L. Khan"/>
    <s v="Female"/>
    <n v="34"/>
    <n v="105643"/>
    <n v="5"/>
    <n v="55"/>
    <x v="0"/>
  </r>
  <r>
    <s v="P133"/>
    <s v="Neurology"/>
    <s v="Therapy"/>
    <s v="Dr. T. Mehta"/>
    <s v="Male"/>
    <n v="21"/>
    <n v="108592"/>
    <n v="16"/>
    <n v="50"/>
    <x v="0"/>
  </r>
  <r>
    <s v="P134"/>
    <s v="Oncology"/>
    <s v="Surgery"/>
    <s v="Dr. A. Sharma"/>
    <s v="Female"/>
    <n v="3"/>
    <n v="38714"/>
    <n v="13"/>
    <n v="65"/>
    <x v="1"/>
  </r>
  <r>
    <s v="P135"/>
    <s v="Orthopedics"/>
    <s v="Observation"/>
    <s v="Dr. M. Patel"/>
    <s v="Female"/>
    <n v="57"/>
    <n v="135017"/>
    <n v="12"/>
    <n v="69"/>
    <x v="0"/>
  </r>
  <r>
    <s v="P136"/>
    <s v="Oncology"/>
    <s v="Therapy"/>
    <s v="Dr. L. Khan"/>
    <s v="Female"/>
    <n v="55"/>
    <n v="24172"/>
    <n v="11"/>
    <n v="59"/>
    <x v="1"/>
  </r>
  <r>
    <s v="P137"/>
    <s v="Pediatrics"/>
    <s v="Surgery"/>
    <s v="Dr. T. Mehta"/>
    <s v="Male"/>
    <n v="5"/>
    <n v="182375"/>
    <n v="6"/>
    <n v="57"/>
    <x v="0"/>
  </r>
  <r>
    <s v="P138"/>
    <s v="Gastroenterology"/>
    <s v="Observation"/>
    <s v="Dr. R. Singh"/>
    <s v="Female"/>
    <n v="69"/>
    <n v="113321"/>
    <n v="26"/>
    <n v="52"/>
    <x v="0"/>
  </r>
  <r>
    <s v="P139"/>
    <s v="Gastroenterology"/>
    <s v="Medication"/>
    <s v="Dr. A. Sharma"/>
    <s v="Female"/>
    <n v="56"/>
    <n v="174057"/>
    <n v="19"/>
    <n v="84"/>
    <x v="0"/>
  </r>
  <r>
    <s v="P140"/>
    <s v="Cardiology"/>
    <s v="Medication"/>
    <s v="Dr. M. Patel"/>
    <s v="Female"/>
    <n v="74"/>
    <n v="52277"/>
    <n v="8"/>
    <n v="64"/>
    <x v="1"/>
  </r>
  <r>
    <s v="P141"/>
    <s v="Pediatrics"/>
    <s v="Medication"/>
    <s v="Dr. M. Patel"/>
    <s v="Male"/>
    <n v="62"/>
    <n v="169943"/>
    <n v="19"/>
    <n v="56"/>
    <x v="0"/>
  </r>
  <r>
    <s v="P142"/>
    <s v="Orthopedics"/>
    <s v="Therapy"/>
    <s v="Dr. M. Patel"/>
    <s v="Female"/>
    <n v="41"/>
    <n v="181589"/>
    <n v="11"/>
    <n v="89"/>
    <x v="0"/>
  </r>
  <r>
    <s v="P143"/>
    <s v="Oncology"/>
    <s v="Surgery"/>
    <s v="Dr. R. Singh"/>
    <s v="Male"/>
    <n v="31"/>
    <n v="59732"/>
    <n v="24"/>
    <n v="62"/>
    <x v="0"/>
  </r>
  <r>
    <s v="P144"/>
    <s v="Oncology"/>
    <s v="Therapy"/>
    <s v="Dr. M. Patel"/>
    <s v="Female"/>
    <n v="79"/>
    <n v="15998"/>
    <n v="10"/>
    <n v="75"/>
    <x v="1"/>
  </r>
  <r>
    <s v="P145"/>
    <s v="Gastroenterology"/>
    <s v="Therapy"/>
    <s v="Dr. A. Sharma"/>
    <s v="Female"/>
    <n v="61"/>
    <n v="160019"/>
    <n v="18"/>
    <n v="73"/>
    <x v="0"/>
  </r>
  <r>
    <s v="P146"/>
    <s v="Cardiology"/>
    <s v="Medication"/>
    <s v="Dr. A. Sharma"/>
    <s v="Male"/>
    <n v="68"/>
    <n v="134766"/>
    <n v="16"/>
    <n v="62"/>
    <x v="0"/>
  </r>
  <r>
    <s v="P147"/>
    <s v="Oncology"/>
    <s v="Medication"/>
    <s v="Dr. A. Sharma"/>
    <s v="Female"/>
    <n v="31"/>
    <n v="185566"/>
    <n v="27"/>
    <n v="73"/>
    <x v="0"/>
  </r>
  <r>
    <s v="P148"/>
    <s v="Oncology"/>
    <s v="Medication"/>
    <s v="Dr. A. Sharma"/>
    <s v="Male"/>
    <n v="19"/>
    <n v="81712"/>
    <n v="3"/>
    <n v="67"/>
    <x v="0"/>
  </r>
  <r>
    <s v="P149"/>
    <s v="Pediatrics"/>
    <s v="Therapy"/>
    <s v="Dr. L. Khan"/>
    <s v="Male"/>
    <n v="56"/>
    <n v="75558"/>
    <n v="17"/>
    <n v="80"/>
    <x v="0"/>
  </r>
  <r>
    <s v="P150"/>
    <s v="Cardiology"/>
    <s v="Surgery"/>
    <s v="Dr. M. Patel"/>
    <s v="Female"/>
    <n v="56"/>
    <n v="80141"/>
    <n v="12"/>
    <n v="73"/>
    <x v="0"/>
  </r>
  <r>
    <s v="P151"/>
    <s v="Oncology"/>
    <s v="Medication"/>
    <s v="Dr. T. Mehta"/>
    <s v="Male"/>
    <n v="33"/>
    <n v="39837"/>
    <n v="19"/>
    <n v="88"/>
    <x v="1"/>
  </r>
  <r>
    <s v="P152"/>
    <s v="Gastroenterology"/>
    <s v="Surgery"/>
    <s v="Dr. A. Sharma"/>
    <s v="Female"/>
    <n v="52"/>
    <n v="49814"/>
    <n v="25"/>
    <n v="61"/>
    <x v="1"/>
  </r>
  <r>
    <s v="P153"/>
    <s v="Pediatrics"/>
    <s v="Surgery"/>
    <s v="Dr. M. Patel"/>
    <s v="Male"/>
    <n v="82"/>
    <n v="41064"/>
    <n v="15"/>
    <n v="79"/>
    <x v="1"/>
  </r>
  <r>
    <s v="P154"/>
    <s v="Oncology"/>
    <s v="Therapy"/>
    <s v="Dr. M. Patel"/>
    <s v="Female"/>
    <n v="40"/>
    <n v="57384"/>
    <n v="18"/>
    <n v="52"/>
    <x v="0"/>
  </r>
  <r>
    <s v="P155"/>
    <s v="Neurology"/>
    <s v="Therapy"/>
    <s v="Dr. T. Mehta"/>
    <s v="Female"/>
    <n v="38"/>
    <n v="24188"/>
    <n v="25"/>
    <n v="56"/>
    <x v="1"/>
  </r>
  <r>
    <s v="P156"/>
    <s v="Cardiology"/>
    <s v="Therapy"/>
    <s v="Dr. M. Patel"/>
    <s v="Male"/>
    <n v="38"/>
    <n v="24945"/>
    <n v="20"/>
    <n v="66"/>
    <x v="1"/>
  </r>
  <r>
    <s v="P157"/>
    <s v="Orthopedics"/>
    <s v="Surgery"/>
    <s v="Dr. R. Singh"/>
    <s v="Female"/>
    <n v="39"/>
    <n v="108824"/>
    <n v="16"/>
    <n v="54"/>
    <x v="0"/>
  </r>
  <r>
    <s v="P158"/>
    <s v="Pediatrics"/>
    <s v="Medication"/>
    <s v="Dr. L. Khan"/>
    <s v="Female"/>
    <n v="41"/>
    <n v="193593"/>
    <n v="23"/>
    <n v="95"/>
    <x v="0"/>
  </r>
  <r>
    <s v="P159"/>
    <s v="Orthopedics"/>
    <s v="Therapy"/>
    <s v="Dr. A. Sharma"/>
    <s v="Female"/>
    <n v="77"/>
    <n v="107726"/>
    <n v="8"/>
    <n v="83"/>
    <x v="0"/>
  </r>
  <r>
    <s v="P160"/>
    <s v="Orthopedics"/>
    <s v="Surgery"/>
    <s v="Dr. A. Sharma"/>
    <s v="Male"/>
    <n v="76"/>
    <n v="199134"/>
    <n v="24"/>
    <n v="84"/>
    <x v="0"/>
  </r>
  <r>
    <s v="P161"/>
    <s v="Gastroenterology"/>
    <s v="Surgery"/>
    <s v="Dr. L. Khan"/>
    <s v="Female"/>
    <n v="19"/>
    <n v="109563"/>
    <n v="16"/>
    <n v="75"/>
    <x v="0"/>
  </r>
  <r>
    <s v="P162"/>
    <s v="Orthopedics"/>
    <s v="Observation"/>
    <s v="Dr. L. Khan"/>
    <s v="Male"/>
    <n v="13"/>
    <n v="162801"/>
    <n v="24"/>
    <n v="87"/>
    <x v="0"/>
  </r>
  <r>
    <s v="P163"/>
    <s v="Oncology"/>
    <s v="Therapy"/>
    <s v="Dr. A. Sharma"/>
    <s v="Male"/>
    <n v="65"/>
    <n v="175996"/>
    <n v="25"/>
    <n v="93"/>
    <x v="0"/>
  </r>
  <r>
    <s v="P164"/>
    <s v="Pediatrics"/>
    <s v="Medication"/>
    <s v="Dr. A. Sharma"/>
    <s v="Female"/>
    <n v="60"/>
    <n v="33596"/>
    <n v="20"/>
    <n v="74"/>
    <x v="1"/>
  </r>
  <r>
    <s v="P165"/>
    <s v="Gastroenterology"/>
    <s v="Medication"/>
    <s v="Dr. T. Mehta"/>
    <s v="Male"/>
    <n v="43"/>
    <n v="97298"/>
    <n v="5"/>
    <n v="92"/>
    <x v="0"/>
  </r>
  <r>
    <s v="P166"/>
    <s v="Gastroenterology"/>
    <s v="Observation"/>
    <s v="Dr. M. Patel"/>
    <s v="Male"/>
    <n v="18"/>
    <n v="99652"/>
    <n v="9"/>
    <n v="77"/>
    <x v="0"/>
  </r>
  <r>
    <s v="P167"/>
    <s v="Gastroenterology"/>
    <s v="Surgery"/>
    <s v="Dr. T. Mehta"/>
    <s v="Female"/>
    <n v="41"/>
    <n v="85347"/>
    <n v="11"/>
    <n v="54"/>
    <x v="0"/>
  </r>
  <r>
    <s v="P168"/>
    <s v="Neurology"/>
    <s v="Therapy"/>
    <s v="Dr. L. Khan"/>
    <s v="Male"/>
    <n v="57"/>
    <n v="48535"/>
    <n v="6"/>
    <n v="77"/>
    <x v="1"/>
  </r>
  <r>
    <s v="P169"/>
    <s v="Cardiology"/>
    <s v="Surgery"/>
    <s v="Dr. R. Singh"/>
    <s v="Female"/>
    <n v="18"/>
    <n v="125819"/>
    <n v="12"/>
    <n v="82"/>
    <x v="0"/>
  </r>
  <r>
    <s v="P170"/>
    <s v="Orthopedics"/>
    <s v="Surgery"/>
    <s v="Dr. M. Patel"/>
    <s v="Male"/>
    <n v="38"/>
    <n v="87649"/>
    <n v="12"/>
    <n v="72"/>
    <x v="0"/>
  </r>
  <r>
    <s v="P171"/>
    <s v="Cardiology"/>
    <s v="Observation"/>
    <s v="Dr. R. Singh"/>
    <s v="Female"/>
    <n v="71"/>
    <n v="16843"/>
    <n v="4"/>
    <n v="81"/>
    <x v="1"/>
  </r>
  <r>
    <s v="P172"/>
    <s v="Pediatrics"/>
    <s v="Medication"/>
    <s v="Dr. R. Singh"/>
    <s v="Female"/>
    <n v="52"/>
    <n v="129665"/>
    <n v="23"/>
    <n v="72"/>
    <x v="0"/>
  </r>
  <r>
    <s v="P173"/>
    <s v="Neurology"/>
    <s v="Observation"/>
    <s v="Dr. L. Khan"/>
    <s v="Female"/>
    <n v="31"/>
    <n v="19680"/>
    <n v="29"/>
    <n v="70"/>
    <x v="1"/>
  </r>
  <r>
    <s v="P174"/>
    <s v="Neurology"/>
    <s v="Therapy"/>
    <s v="Dr. A. Sharma"/>
    <s v="Female"/>
    <n v="81"/>
    <n v="48117"/>
    <n v="21"/>
    <n v="67"/>
    <x v="1"/>
  </r>
  <r>
    <s v="P175"/>
    <s v="Cardiology"/>
    <s v="Surgery"/>
    <s v="Dr. T. Mehta"/>
    <s v="Female"/>
    <n v="36"/>
    <n v="90628"/>
    <n v="27"/>
    <n v="59"/>
    <x v="0"/>
  </r>
  <r>
    <s v="P176"/>
    <s v="Gastroenterology"/>
    <s v="Observation"/>
    <s v="Dr. T. Mehta"/>
    <s v="Female"/>
    <n v="33"/>
    <n v="22868"/>
    <n v="5"/>
    <n v="53"/>
    <x v="1"/>
  </r>
  <r>
    <s v="P177"/>
    <s v="Gastroenterology"/>
    <s v="Observation"/>
    <s v="Dr. R. Singh"/>
    <s v="Female"/>
    <n v="49"/>
    <n v="159122"/>
    <n v="23"/>
    <n v="74"/>
    <x v="0"/>
  </r>
  <r>
    <s v="P178"/>
    <s v="Gastroenterology"/>
    <s v="Observation"/>
    <s v="Dr. L. Khan"/>
    <s v="Female"/>
    <n v="42"/>
    <n v="71782"/>
    <n v="9"/>
    <n v="77"/>
    <x v="0"/>
  </r>
  <r>
    <s v="P179"/>
    <s v="Oncology"/>
    <s v="Therapy"/>
    <s v="Dr. L. Khan"/>
    <s v="Female"/>
    <n v="32"/>
    <n v="70482"/>
    <n v="21"/>
    <n v="55"/>
    <x v="0"/>
  </r>
  <r>
    <s v="P180"/>
    <s v="Neurology"/>
    <s v="Medication"/>
    <s v="Dr. R. Singh"/>
    <s v="Female"/>
    <n v="77"/>
    <n v="117489"/>
    <n v="6"/>
    <n v="77"/>
    <x v="0"/>
  </r>
  <r>
    <s v="P181"/>
    <s v="Cardiology"/>
    <s v="Observation"/>
    <s v="Dr. A. Sharma"/>
    <s v="Male"/>
    <n v="33"/>
    <n v="161902"/>
    <n v="27"/>
    <n v="50"/>
    <x v="0"/>
  </r>
  <r>
    <s v="P182"/>
    <s v="Cardiology"/>
    <s v="Surgery"/>
    <s v="Dr. R. Singh"/>
    <s v="Male"/>
    <n v="51"/>
    <n v="20304"/>
    <n v="17"/>
    <n v="80"/>
    <x v="1"/>
  </r>
  <r>
    <s v="P183"/>
    <s v="Neurology"/>
    <s v="Surgery"/>
    <s v="Dr. A. Sharma"/>
    <s v="Other"/>
    <n v="6"/>
    <n v="90802"/>
    <n v="7"/>
    <n v="55"/>
    <x v="0"/>
  </r>
  <r>
    <s v="P184"/>
    <s v="Gastroenterology"/>
    <s v="Therapy"/>
    <s v="Dr. T. Mehta"/>
    <s v="Female"/>
    <n v="21"/>
    <n v="40710"/>
    <n v="18"/>
    <n v="89"/>
    <x v="1"/>
  </r>
  <r>
    <s v="P185"/>
    <s v="Pediatrics"/>
    <s v="Medication"/>
    <s v="Dr. T. Mehta"/>
    <s v="Female"/>
    <n v="66"/>
    <n v="123295"/>
    <n v="9"/>
    <n v="54"/>
    <x v="0"/>
  </r>
  <r>
    <s v="P186"/>
    <s v="Gastroenterology"/>
    <s v="Surgery"/>
    <s v="Dr. R. Singh"/>
    <s v="Female"/>
    <n v="60"/>
    <n v="161372"/>
    <n v="14"/>
    <n v="74"/>
    <x v="0"/>
  </r>
  <r>
    <s v="P187"/>
    <s v="Orthopedics"/>
    <s v="Observation"/>
    <s v="Dr. T. Mehta"/>
    <s v="Male"/>
    <n v="8"/>
    <n v="101508"/>
    <n v="8"/>
    <n v="86"/>
    <x v="0"/>
  </r>
  <r>
    <s v="P188"/>
    <s v="Neurology"/>
    <s v="Medication"/>
    <s v="Dr. L. Khan"/>
    <s v="Male"/>
    <n v="60"/>
    <n v="153453"/>
    <n v="19"/>
    <n v="76"/>
    <x v="0"/>
  </r>
  <r>
    <s v="P189"/>
    <s v="Neurology"/>
    <s v="Therapy"/>
    <s v="Dr. T. Mehta"/>
    <s v="Female"/>
    <n v="29"/>
    <n v="184791"/>
    <n v="19"/>
    <n v="82"/>
    <x v="0"/>
  </r>
  <r>
    <s v="P190"/>
    <s v="Gastroenterology"/>
    <s v="Medication"/>
    <s v="Dr. R. Singh"/>
    <s v="Male"/>
    <n v="81"/>
    <n v="121064"/>
    <n v="23"/>
    <n v="71"/>
    <x v="0"/>
  </r>
  <r>
    <s v="P191"/>
    <s v="Cardiology"/>
    <s v="Observation"/>
    <s v="Dr. A. Sharma"/>
    <s v="Female"/>
    <n v="60"/>
    <n v="59983"/>
    <n v="15"/>
    <n v="86"/>
    <x v="0"/>
  </r>
  <r>
    <s v="P192"/>
    <s v="Pediatrics"/>
    <s v="Observation"/>
    <s v="Dr. M. Patel"/>
    <s v="Male"/>
    <n v="36"/>
    <n v="153347"/>
    <n v="8"/>
    <n v="92"/>
    <x v="0"/>
  </r>
  <r>
    <s v="P193"/>
    <s v="Oncology"/>
    <s v="Therapy"/>
    <s v="Dr. T. Mehta"/>
    <s v="Female"/>
    <n v="3"/>
    <n v="36600"/>
    <n v="17"/>
    <n v="87"/>
    <x v="1"/>
  </r>
  <r>
    <s v="P194"/>
    <s v="Orthopedics"/>
    <s v="Medication"/>
    <s v="Dr. L. Khan"/>
    <s v="Male"/>
    <n v="46"/>
    <n v="134063"/>
    <n v="3"/>
    <n v="67"/>
    <x v="0"/>
  </r>
  <r>
    <s v="P195"/>
    <s v="Gastroenterology"/>
    <s v="Surgery"/>
    <s v="Dr. R. Singh"/>
    <s v="Male"/>
    <n v="28"/>
    <n v="135445"/>
    <n v="12"/>
    <n v="80"/>
    <x v="0"/>
  </r>
  <r>
    <s v="P196"/>
    <s v="Gastroenterology"/>
    <s v="Observation"/>
    <s v="Dr. M. Patel"/>
    <s v="Male"/>
    <n v="73"/>
    <n v="101529"/>
    <n v="19"/>
    <n v="69"/>
    <x v="0"/>
  </r>
  <r>
    <s v="P197"/>
    <s v="Cardiology"/>
    <s v="Surgery"/>
    <s v="Dr. L. Khan"/>
    <s v="Male"/>
    <n v="31"/>
    <n v="168366"/>
    <n v="8"/>
    <n v="76"/>
    <x v="0"/>
  </r>
  <r>
    <s v="P198"/>
    <s v="Neurology"/>
    <s v="Surgery"/>
    <s v="Dr. A. Sharma"/>
    <s v="Male"/>
    <n v="36"/>
    <n v="28716"/>
    <n v="29"/>
    <n v="73"/>
    <x v="1"/>
  </r>
  <r>
    <s v="P199"/>
    <s v="Orthopedics"/>
    <s v="Medication"/>
    <s v="Dr. M. Patel"/>
    <s v="Male"/>
    <n v="35"/>
    <n v="91050"/>
    <n v="22"/>
    <n v="65"/>
    <x v="0"/>
  </r>
  <r>
    <s v="P200"/>
    <s v="Orthopedics"/>
    <s v="Therapy"/>
    <s v="Dr. A. Sharma"/>
    <s v="Female"/>
    <n v="39"/>
    <n v="124862"/>
    <n v="23"/>
    <n v="88"/>
    <x v="0"/>
  </r>
  <r>
    <s v="P201"/>
    <s v="Oncology"/>
    <s v="Observation"/>
    <s v="Dr. L. Khan"/>
    <s v="Female"/>
    <n v="29"/>
    <n v="116528"/>
    <n v="23"/>
    <n v="53"/>
    <x v="0"/>
  </r>
  <r>
    <s v="P202"/>
    <s v="Pediatrics"/>
    <s v="Medication"/>
    <s v="Dr. L. Khan"/>
    <s v="Female"/>
    <n v="30"/>
    <n v="189376"/>
    <n v="14"/>
    <n v="62"/>
    <x v="0"/>
  </r>
  <r>
    <s v="P203"/>
    <s v="Gastroenterology"/>
    <s v="Therapy"/>
    <s v="Dr. M. Patel"/>
    <s v="Female"/>
    <n v="53"/>
    <n v="82672"/>
    <n v="7"/>
    <n v="58"/>
    <x v="0"/>
  </r>
  <r>
    <s v="P204"/>
    <s v="Orthopedics"/>
    <s v="Therapy"/>
    <s v="Dr. T. Mehta"/>
    <s v="Male"/>
    <n v="12"/>
    <n v="32701"/>
    <n v="30"/>
    <n v="94"/>
    <x v="1"/>
  </r>
  <r>
    <s v="P205"/>
    <s v="Pediatrics"/>
    <s v="Surgery"/>
    <s v="Dr. L. Khan"/>
    <s v="Female"/>
    <n v="45"/>
    <n v="60523"/>
    <n v="26"/>
    <n v="74"/>
    <x v="0"/>
  </r>
  <r>
    <s v="P206"/>
    <s v="Neurology"/>
    <s v="Observation"/>
    <s v="Dr. M. Patel"/>
    <s v="Female"/>
    <n v="72"/>
    <n v="139196"/>
    <n v="15"/>
    <n v="51"/>
    <x v="0"/>
  </r>
  <r>
    <s v="P207"/>
    <s v="Orthopedics"/>
    <s v="Surgery"/>
    <s v="Dr. A. Sharma"/>
    <s v="Male"/>
    <n v="52"/>
    <n v="110991"/>
    <n v="7"/>
    <n v="51"/>
    <x v="0"/>
  </r>
  <r>
    <s v="P208"/>
    <s v="Orthopedics"/>
    <s v="Surgery"/>
    <s v="Dr. R. Singh"/>
    <s v="Female"/>
    <n v="54"/>
    <n v="178064"/>
    <n v="7"/>
    <n v="67"/>
    <x v="0"/>
  </r>
  <r>
    <s v="P209"/>
    <s v="Neurology"/>
    <s v="Medication"/>
    <s v="Dr. R. Singh"/>
    <s v="Other"/>
    <n v="49"/>
    <n v="31919"/>
    <n v="18"/>
    <n v="94"/>
    <x v="1"/>
  </r>
  <r>
    <s v="P210"/>
    <s v="Gastroenterology"/>
    <s v="Therapy"/>
    <s v="Dr. A. Sharma"/>
    <s v="Male"/>
    <n v="70"/>
    <n v="84569"/>
    <n v="23"/>
    <n v="55"/>
    <x v="0"/>
  </r>
  <r>
    <s v="P211"/>
    <s v="Orthopedics"/>
    <s v="Observation"/>
    <s v="Dr. L. Khan"/>
    <s v="Male"/>
    <n v="40"/>
    <n v="124989"/>
    <n v="10"/>
    <n v="50"/>
    <x v="0"/>
  </r>
  <r>
    <s v="P212"/>
    <s v="Gastroenterology"/>
    <s v="Observation"/>
    <s v="Dr. A. Sharma"/>
    <s v="Male"/>
    <n v="84"/>
    <n v="99429"/>
    <n v="4"/>
    <n v="71"/>
    <x v="0"/>
  </r>
  <r>
    <s v="P213"/>
    <s v="Cardiology"/>
    <s v="Surgery"/>
    <s v="Dr. M. Patel"/>
    <s v="Male"/>
    <n v="1"/>
    <n v="52801"/>
    <n v="17"/>
    <n v="90"/>
    <x v="1"/>
  </r>
  <r>
    <s v="P214"/>
    <s v="Gastroenterology"/>
    <s v="Observation"/>
    <s v="Dr. M. Patel"/>
    <s v="Male"/>
    <n v="46"/>
    <n v="51871"/>
    <n v="20"/>
    <n v="82"/>
    <x v="1"/>
  </r>
  <r>
    <s v="P215"/>
    <s v="Neurology"/>
    <s v="Observation"/>
    <s v="Dr. T. Mehta"/>
    <s v="Female"/>
    <n v="63"/>
    <n v="110071"/>
    <n v="14"/>
    <n v="55"/>
    <x v="0"/>
  </r>
  <r>
    <s v="P216"/>
    <s v="Gastroenterology"/>
    <s v="Observation"/>
    <s v="Dr. A. Sharma"/>
    <s v="Male"/>
    <n v="19"/>
    <n v="192248"/>
    <n v="28"/>
    <n v="90"/>
    <x v="0"/>
  </r>
  <r>
    <s v="P217"/>
    <s v="Neurology"/>
    <s v="Surgery"/>
    <s v="Dr. R. Singh"/>
    <s v="Male"/>
    <n v="56"/>
    <n v="33514"/>
    <n v="18"/>
    <n v="68"/>
    <x v="1"/>
  </r>
  <r>
    <s v="P218"/>
    <s v="Cardiology"/>
    <s v="Therapy"/>
    <s v="Dr. T. Mehta"/>
    <s v="Male"/>
    <n v="50"/>
    <n v="130778"/>
    <n v="21"/>
    <n v="91"/>
    <x v="0"/>
  </r>
  <r>
    <s v="P219"/>
    <s v="Gastroenterology"/>
    <s v="Surgery"/>
    <s v="Dr. M. Patel"/>
    <s v="Male"/>
    <n v="11"/>
    <n v="179122"/>
    <n v="17"/>
    <n v="84"/>
    <x v="0"/>
  </r>
  <r>
    <s v="P220"/>
    <s v="Pediatrics"/>
    <s v="Surgery"/>
    <s v="Dr. A. Sharma"/>
    <s v="Male"/>
    <n v="39"/>
    <n v="86154"/>
    <n v="4"/>
    <n v="69"/>
    <x v="0"/>
  </r>
  <r>
    <s v="P221"/>
    <s v="Pediatrics"/>
    <s v="Observation"/>
    <s v="Dr. A. Sharma"/>
    <s v="Male"/>
    <n v="44"/>
    <n v="39712"/>
    <n v="10"/>
    <n v="55"/>
    <x v="1"/>
  </r>
  <r>
    <s v="P222"/>
    <s v="Neurology"/>
    <s v="Therapy"/>
    <s v="Dr. M. Patel"/>
    <s v="Male"/>
    <n v="35"/>
    <n v="51011"/>
    <n v="5"/>
    <n v="64"/>
    <x v="1"/>
  </r>
  <r>
    <s v="P223"/>
    <s v="Pediatrics"/>
    <s v="Therapy"/>
    <s v="Dr. T. Mehta"/>
    <s v="Male"/>
    <n v="47"/>
    <n v="49603"/>
    <n v="18"/>
    <n v="83"/>
    <x v="1"/>
  </r>
  <r>
    <s v="P224"/>
    <s v="Gastroenterology"/>
    <s v="Surgery"/>
    <s v="Dr. T. Mehta"/>
    <s v="Female"/>
    <n v="82"/>
    <n v="22764"/>
    <n v="27"/>
    <n v="50"/>
    <x v="1"/>
  </r>
  <r>
    <s v="P225"/>
    <s v="Gastroenterology"/>
    <s v="Therapy"/>
    <s v="Dr. R. Singh"/>
    <s v="Female"/>
    <n v="32"/>
    <n v="84984"/>
    <n v="27"/>
    <n v="50"/>
    <x v="0"/>
  </r>
  <r>
    <s v="P226"/>
    <s v="Gastroenterology"/>
    <s v="Observation"/>
    <s v="Dr. L. Khan"/>
    <s v="Male"/>
    <n v="84"/>
    <n v="101908"/>
    <n v="23"/>
    <n v="52"/>
    <x v="0"/>
  </r>
  <r>
    <s v="P227"/>
    <s v="Orthopedics"/>
    <s v="Therapy"/>
    <s v="Dr. R. Singh"/>
    <s v="Female"/>
    <n v="19"/>
    <n v="70118"/>
    <n v="21"/>
    <n v="56"/>
    <x v="0"/>
  </r>
  <r>
    <s v="P228"/>
    <s v="Cardiology"/>
    <s v="Therapy"/>
    <s v="Dr. A. Sharma"/>
    <s v="Male"/>
    <n v="8"/>
    <n v="194831"/>
    <n v="3"/>
    <n v="89"/>
    <x v="0"/>
  </r>
  <r>
    <s v="P229"/>
    <s v="Neurology"/>
    <s v="Observation"/>
    <s v="Dr. L. Khan"/>
    <s v="Male"/>
    <n v="19"/>
    <n v="170565"/>
    <n v="23"/>
    <n v="78"/>
    <x v="0"/>
  </r>
  <r>
    <s v="P230"/>
    <s v="Gastroenterology"/>
    <s v="Medication"/>
    <s v="Dr. T. Mehta"/>
    <s v="Male"/>
    <n v="47"/>
    <n v="19586"/>
    <n v="5"/>
    <n v="54"/>
    <x v="1"/>
  </r>
  <r>
    <s v="P231"/>
    <s v="Oncology"/>
    <s v="Therapy"/>
    <s v="Dr. A. Sharma"/>
    <s v="Male"/>
    <n v="59"/>
    <n v="108498"/>
    <n v="4"/>
    <n v="52"/>
    <x v="0"/>
  </r>
  <r>
    <s v="P232"/>
    <s v="Pediatrics"/>
    <s v="Therapy"/>
    <s v="Dr. L. Khan"/>
    <s v="Male"/>
    <n v="68"/>
    <n v="46886"/>
    <n v="20"/>
    <n v="54"/>
    <x v="1"/>
  </r>
  <r>
    <s v="P233"/>
    <s v="Pediatrics"/>
    <s v="Observation"/>
    <s v="Dr. A. Sharma"/>
    <s v="Female"/>
    <n v="67"/>
    <n v="143991"/>
    <n v="3"/>
    <n v="58"/>
    <x v="0"/>
  </r>
  <r>
    <s v="P234"/>
    <s v="Orthopedics"/>
    <s v="Medication"/>
    <s v="Dr. R. Singh"/>
    <s v="Male"/>
    <n v="32"/>
    <n v="189712"/>
    <n v="20"/>
    <n v="80"/>
    <x v="0"/>
  </r>
  <r>
    <s v="P235"/>
    <s v="Neurology"/>
    <s v="Observation"/>
    <s v="Dr. T. Mehta"/>
    <s v="Male"/>
    <n v="30"/>
    <n v="134411"/>
    <n v="5"/>
    <n v="72"/>
    <x v="0"/>
  </r>
  <r>
    <s v="P236"/>
    <s v="Orthopedics"/>
    <s v="Observation"/>
    <s v="Dr. T. Mehta"/>
    <s v="Female"/>
    <n v="72"/>
    <n v="107074"/>
    <n v="29"/>
    <n v="84"/>
    <x v="0"/>
  </r>
  <r>
    <s v="P237"/>
    <s v="Oncology"/>
    <s v="Therapy"/>
    <s v="Dr. T. Mehta"/>
    <s v="Female"/>
    <n v="3"/>
    <n v="27322"/>
    <n v="11"/>
    <n v="91"/>
    <x v="1"/>
  </r>
  <r>
    <s v="P238"/>
    <s v="Pediatrics"/>
    <s v="Surgery"/>
    <s v="Dr. R. Singh"/>
    <s v="Male"/>
    <n v="29"/>
    <n v="22303"/>
    <n v="3"/>
    <n v="51"/>
    <x v="1"/>
  </r>
  <r>
    <s v="P239"/>
    <s v="Orthopedics"/>
    <s v="Surgery"/>
    <s v="Dr. A. Sharma"/>
    <s v="Female"/>
    <n v="32"/>
    <n v="97225"/>
    <n v="4"/>
    <n v="90"/>
    <x v="0"/>
  </r>
  <r>
    <s v="P240"/>
    <s v="Oncology"/>
    <s v="Surgery"/>
    <s v="Dr. M. Patel"/>
    <s v="Female"/>
    <n v="70"/>
    <n v="126226"/>
    <n v="27"/>
    <n v="89"/>
    <x v="0"/>
  </r>
  <r>
    <s v="P241"/>
    <s v="Cardiology"/>
    <s v="Therapy"/>
    <s v="Dr. T. Mehta"/>
    <s v="Male"/>
    <n v="11"/>
    <n v="106669"/>
    <n v="19"/>
    <n v="68"/>
    <x v="0"/>
  </r>
  <r>
    <s v="P242"/>
    <s v="Neurology"/>
    <s v="Surgery"/>
    <s v="Dr. R. Singh"/>
    <s v="Male"/>
    <n v="46"/>
    <n v="168712"/>
    <n v="3"/>
    <n v="60"/>
    <x v="0"/>
  </r>
  <r>
    <s v="P243"/>
    <s v="Pediatrics"/>
    <s v="Medication"/>
    <s v="Dr. T. Mehta"/>
    <s v="Female"/>
    <n v="13"/>
    <n v="66113"/>
    <n v="6"/>
    <n v="94"/>
    <x v="0"/>
  </r>
  <r>
    <s v="P244"/>
    <s v="Pediatrics"/>
    <s v="Medication"/>
    <s v="Dr. A. Sharma"/>
    <s v="Female"/>
    <n v="74"/>
    <n v="86248"/>
    <n v="19"/>
    <n v="77"/>
    <x v="0"/>
  </r>
  <r>
    <s v="P245"/>
    <s v="Cardiology"/>
    <s v="Medication"/>
    <s v="Dr. M. Patel"/>
    <s v="Male"/>
    <n v="27"/>
    <n v="97507"/>
    <n v="3"/>
    <n v="59"/>
    <x v="0"/>
  </r>
  <r>
    <s v="P246"/>
    <s v="Orthopedics"/>
    <s v="Observation"/>
    <s v="Dr. T. Mehta"/>
    <s v="Male"/>
    <n v="71"/>
    <n v="197116"/>
    <n v="7"/>
    <n v="89"/>
    <x v="0"/>
  </r>
  <r>
    <s v="P247"/>
    <s v="Pediatrics"/>
    <s v="Medication"/>
    <s v="Dr. M. Patel"/>
    <s v="Female"/>
    <n v="75"/>
    <n v="131614"/>
    <n v="22"/>
    <n v="87"/>
    <x v="0"/>
  </r>
  <r>
    <s v="P248"/>
    <s v="Orthopedics"/>
    <s v="Therapy"/>
    <s v="Dr. T. Mehta"/>
    <s v="Male"/>
    <n v="47"/>
    <n v="91199"/>
    <n v="18"/>
    <n v="86"/>
    <x v="0"/>
  </r>
  <r>
    <s v="P249"/>
    <s v="Pediatrics"/>
    <s v="Therapy"/>
    <s v="Dr. R. Singh"/>
    <s v="Male"/>
    <n v="21"/>
    <n v="94174"/>
    <n v="26"/>
    <n v="53"/>
    <x v="0"/>
  </r>
  <r>
    <s v="P250"/>
    <s v="Cardiology"/>
    <s v="Medication"/>
    <s v="Dr. T. Mehta"/>
    <s v="Male"/>
    <n v="61"/>
    <n v="122112"/>
    <n v="16"/>
    <n v="81"/>
    <x v="0"/>
  </r>
  <r>
    <s v="P251"/>
    <s v="Cardiology"/>
    <s v="Medication"/>
    <s v="Dr. M. Patel"/>
    <s v="Male"/>
    <n v="52"/>
    <n v="89154"/>
    <n v="14"/>
    <n v="77"/>
    <x v="0"/>
  </r>
  <r>
    <s v="P252"/>
    <s v="Cardiology"/>
    <s v="Observation"/>
    <s v="Dr. R. Singh"/>
    <s v="Female"/>
    <n v="39"/>
    <n v="87295"/>
    <n v="12"/>
    <n v="64"/>
    <x v="0"/>
  </r>
  <r>
    <s v="P253"/>
    <s v="Oncology"/>
    <s v="Therapy"/>
    <s v="Dr. R. Singh"/>
    <s v="Male"/>
    <n v="79"/>
    <n v="123633"/>
    <n v="20"/>
    <n v="73"/>
    <x v="0"/>
  </r>
  <r>
    <s v="P254"/>
    <s v="Cardiology"/>
    <s v="Therapy"/>
    <s v="Dr. M. Patel"/>
    <s v="Female"/>
    <n v="45"/>
    <n v="196720"/>
    <n v="22"/>
    <n v="68"/>
    <x v="0"/>
  </r>
  <r>
    <s v="P255"/>
    <s v="Cardiology"/>
    <s v="Surgery"/>
    <s v="Dr. T. Mehta"/>
    <s v="Female"/>
    <n v="9"/>
    <n v="164337"/>
    <n v="4"/>
    <n v="90"/>
    <x v="0"/>
  </r>
  <r>
    <s v="P256"/>
    <s v="Neurology"/>
    <s v="Therapy"/>
    <s v="Dr. M. Patel"/>
    <s v="Male"/>
    <n v="37"/>
    <n v="44710"/>
    <n v="18"/>
    <n v="56"/>
    <x v="1"/>
  </r>
  <r>
    <s v="P257"/>
    <s v="Orthopedics"/>
    <s v="Observation"/>
    <s v="Dr. M. Patel"/>
    <s v="Male"/>
    <n v="4"/>
    <n v="147847"/>
    <n v="28"/>
    <n v="64"/>
    <x v="0"/>
  </r>
  <r>
    <s v="P258"/>
    <s v="Gastroenterology"/>
    <s v="Therapy"/>
    <s v="Dr. M. Patel"/>
    <s v="Female"/>
    <n v="45"/>
    <n v="130243"/>
    <n v="9"/>
    <n v="86"/>
    <x v="0"/>
  </r>
  <r>
    <s v="P259"/>
    <s v="Pediatrics"/>
    <s v="Surgery"/>
    <s v="Dr. A. Sharma"/>
    <s v="Male"/>
    <n v="21"/>
    <n v="131318"/>
    <n v="12"/>
    <n v="89"/>
    <x v="0"/>
  </r>
  <r>
    <s v="P260"/>
    <s v="Orthopedics"/>
    <s v="Medication"/>
    <s v="Dr. T. Mehta"/>
    <s v="Male"/>
    <n v="6"/>
    <n v="89925"/>
    <n v="17"/>
    <n v="62"/>
    <x v="0"/>
  </r>
  <r>
    <s v="P261"/>
    <s v="Gastroenterology"/>
    <s v="Observation"/>
    <s v="Dr. M. Patel"/>
    <s v="Male"/>
    <n v="64"/>
    <n v="43323"/>
    <n v="12"/>
    <n v="66"/>
    <x v="1"/>
  </r>
  <r>
    <s v="P262"/>
    <s v="Neurology"/>
    <s v="Medication"/>
    <s v="Dr. R. Singh"/>
    <s v="Female"/>
    <n v="26"/>
    <n v="152107"/>
    <n v="12"/>
    <n v="75"/>
    <x v="0"/>
  </r>
  <r>
    <s v="P263"/>
    <s v="Gastroenterology"/>
    <s v="Therapy"/>
    <s v="Dr. R. Singh"/>
    <s v="Female"/>
    <n v="71"/>
    <n v="24196"/>
    <n v="27"/>
    <n v="75"/>
    <x v="1"/>
  </r>
  <r>
    <s v="P264"/>
    <s v="Gastroenterology"/>
    <s v="Observation"/>
    <s v="Dr. R. Singh"/>
    <s v="Male"/>
    <n v="82"/>
    <n v="79037"/>
    <n v="5"/>
    <n v="79"/>
    <x v="0"/>
  </r>
  <r>
    <s v="P265"/>
    <s v="Oncology"/>
    <s v="Observation"/>
    <s v="Dr. L. Khan"/>
    <s v="Female"/>
    <n v="3"/>
    <n v="22907"/>
    <n v="15"/>
    <n v="68"/>
    <x v="1"/>
  </r>
  <r>
    <s v="P266"/>
    <s v="Pediatrics"/>
    <s v="Therapy"/>
    <s v="Dr. L. Khan"/>
    <s v="Male"/>
    <n v="41"/>
    <n v="26804"/>
    <n v="9"/>
    <n v="89"/>
    <x v="1"/>
  </r>
  <r>
    <s v="P267"/>
    <s v="Orthopedics"/>
    <s v="Observation"/>
    <s v="Dr. M. Patel"/>
    <s v="Male"/>
    <n v="71"/>
    <n v="102097"/>
    <n v="24"/>
    <n v="75"/>
    <x v="0"/>
  </r>
  <r>
    <s v="P268"/>
    <s v="Neurology"/>
    <s v="Therapy"/>
    <s v="Dr. T. Mehta"/>
    <s v="Male"/>
    <n v="68"/>
    <n v="197905"/>
    <n v="6"/>
    <n v="86"/>
    <x v="0"/>
  </r>
  <r>
    <s v="P269"/>
    <s v="Pediatrics"/>
    <s v="Medication"/>
    <s v="Dr. L. Khan"/>
    <s v="Male"/>
    <n v="72"/>
    <n v="73172"/>
    <n v="28"/>
    <n v="75"/>
    <x v="0"/>
  </r>
  <r>
    <s v="P270"/>
    <s v="Pediatrics"/>
    <s v="Surgery"/>
    <s v="Dr. L. Khan"/>
    <s v="Female"/>
    <n v="56"/>
    <n v="102203"/>
    <n v="12"/>
    <n v="53"/>
    <x v="0"/>
  </r>
  <r>
    <s v="P271"/>
    <s v="Orthopedics"/>
    <s v="Medication"/>
    <s v="Dr. L. Khan"/>
    <s v="Female"/>
    <n v="64"/>
    <n v="171129"/>
    <n v="6"/>
    <n v="67"/>
    <x v="0"/>
  </r>
  <r>
    <s v="P272"/>
    <s v="Pediatrics"/>
    <s v="Observation"/>
    <s v="Dr. R. Singh"/>
    <s v="Male"/>
    <n v="48"/>
    <n v="79889"/>
    <n v="22"/>
    <n v="73"/>
    <x v="0"/>
  </r>
  <r>
    <s v="P273"/>
    <s v="Cardiology"/>
    <s v="Surgery"/>
    <s v="Dr. M. Patel"/>
    <s v="Female"/>
    <n v="64"/>
    <n v="49311"/>
    <n v="30"/>
    <n v="86"/>
    <x v="1"/>
  </r>
  <r>
    <s v="P274"/>
    <s v="Orthopedics"/>
    <s v="Therapy"/>
    <s v="Dr. A. Sharma"/>
    <s v="Other"/>
    <n v="78"/>
    <n v="52130"/>
    <n v="17"/>
    <n v="53"/>
    <x v="1"/>
  </r>
  <r>
    <s v="P275"/>
    <s v="Orthopedics"/>
    <s v="Observation"/>
    <s v="Dr. A. Sharma"/>
    <s v="Male"/>
    <n v="58"/>
    <n v="189802"/>
    <n v="11"/>
    <n v="86"/>
    <x v="0"/>
  </r>
  <r>
    <s v="P276"/>
    <s v="Oncology"/>
    <s v="Observation"/>
    <s v="Dr. A. Sharma"/>
    <s v="Female"/>
    <n v="33"/>
    <n v="48208"/>
    <n v="22"/>
    <n v="85"/>
    <x v="1"/>
  </r>
  <r>
    <s v="P277"/>
    <s v="Gastroenterology"/>
    <s v="Surgery"/>
    <s v="Dr. T. Mehta"/>
    <s v="Male"/>
    <n v="79"/>
    <n v="61949"/>
    <n v="24"/>
    <n v="64"/>
    <x v="0"/>
  </r>
  <r>
    <s v="P278"/>
    <s v="Pediatrics"/>
    <s v="Therapy"/>
    <s v="Dr. R. Singh"/>
    <s v="Female"/>
    <n v="45"/>
    <n v="144042"/>
    <n v="10"/>
    <n v="55"/>
    <x v="0"/>
  </r>
  <r>
    <s v="P279"/>
    <s v="Pediatrics"/>
    <s v="Surgery"/>
    <s v="Dr. T. Mehta"/>
    <s v="Male"/>
    <n v="71"/>
    <n v="147012"/>
    <n v="25"/>
    <n v="62"/>
    <x v="0"/>
  </r>
  <r>
    <s v="P280"/>
    <s v="Gastroenterology"/>
    <s v="Observation"/>
    <s v="Dr. T. Mehta"/>
    <s v="Female"/>
    <n v="48"/>
    <n v="151193"/>
    <n v="12"/>
    <n v="63"/>
    <x v="0"/>
  </r>
  <r>
    <s v="P281"/>
    <s v="Orthopedics"/>
    <s v="Observation"/>
    <s v="Dr. T. Mehta"/>
    <s v="Female"/>
    <n v="77"/>
    <n v="117921"/>
    <n v="11"/>
    <n v="84"/>
    <x v="0"/>
  </r>
  <r>
    <s v="P282"/>
    <s v="Orthopedics"/>
    <s v="Therapy"/>
    <s v="Dr. M. Patel"/>
    <s v="Male"/>
    <n v="61"/>
    <n v="147584"/>
    <n v="12"/>
    <n v="83"/>
    <x v="0"/>
  </r>
  <r>
    <s v="P283"/>
    <s v="Cardiology"/>
    <s v="Medication"/>
    <s v="Dr. A. Sharma"/>
    <s v="Female"/>
    <n v="1"/>
    <n v="16596"/>
    <n v="20"/>
    <n v="76"/>
    <x v="1"/>
  </r>
  <r>
    <s v="P284"/>
    <s v="Orthopedics"/>
    <s v="Therapy"/>
    <s v="Dr. A. Sharma"/>
    <s v="Male"/>
    <n v="48"/>
    <n v="80746"/>
    <n v="21"/>
    <n v="90"/>
    <x v="0"/>
  </r>
  <r>
    <s v="P285"/>
    <s v="Oncology"/>
    <s v="Observation"/>
    <s v="Dr. M. Patel"/>
    <s v="Male"/>
    <n v="70"/>
    <n v="95531"/>
    <n v="22"/>
    <n v="60"/>
    <x v="0"/>
  </r>
  <r>
    <s v="P286"/>
    <s v="Neurology"/>
    <s v="Therapy"/>
    <s v="Dr. T. Mehta"/>
    <s v="Male"/>
    <n v="41"/>
    <n v="173028"/>
    <n v="10"/>
    <n v="52"/>
    <x v="0"/>
  </r>
  <r>
    <s v="P287"/>
    <s v="Orthopedics"/>
    <s v="Surgery"/>
    <s v="Dr. R. Singh"/>
    <s v="Female"/>
    <n v="80"/>
    <n v="59942"/>
    <n v="11"/>
    <n v="60"/>
    <x v="0"/>
  </r>
  <r>
    <s v="P288"/>
    <s v="Gastroenterology"/>
    <s v="Surgery"/>
    <s v="Dr. T. Mehta"/>
    <s v="Male"/>
    <n v="85"/>
    <n v="179863"/>
    <n v="24"/>
    <n v="86"/>
    <x v="0"/>
  </r>
  <r>
    <s v="P289"/>
    <s v="Oncology"/>
    <s v="Surgery"/>
    <s v="Dr. R. Singh"/>
    <s v="Male"/>
    <n v="33"/>
    <n v="74137"/>
    <n v="11"/>
    <n v="78"/>
    <x v="0"/>
  </r>
  <r>
    <s v="P290"/>
    <s v="Orthopedics"/>
    <s v="Surgery"/>
    <s v="Dr. R. Singh"/>
    <s v="Female"/>
    <n v="8"/>
    <n v="86710"/>
    <n v="6"/>
    <n v="83"/>
    <x v="0"/>
  </r>
  <r>
    <s v="P291"/>
    <s v="Gastroenterology"/>
    <s v="Surgery"/>
    <s v="Dr. T. Mehta"/>
    <s v="Female"/>
    <n v="21"/>
    <n v="139631"/>
    <n v="24"/>
    <n v="66"/>
    <x v="0"/>
  </r>
  <r>
    <s v="P292"/>
    <s v="Cardiology"/>
    <s v="Medication"/>
    <s v="Dr. T. Mehta"/>
    <s v="Female"/>
    <n v="33"/>
    <n v="181989"/>
    <n v="16"/>
    <n v="66"/>
    <x v="0"/>
  </r>
  <r>
    <s v="P293"/>
    <s v="Oncology"/>
    <s v="Observation"/>
    <s v="Dr. R. Singh"/>
    <s v="Female"/>
    <n v="5"/>
    <n v="196340"/>
    <n v="8"/>
    <n v="76"/>
    <x v="0"/>
  </r>
  <r>
    <s v="P294"/>
    <s v="Cardiology"/>
    <s v="Observation"/>
    <s v="Dr. R. Singh"/>
    <s v="Female"/>
    <n v="53"/>
    <n v="166526"/>
    <n v="28"/>
    <n v="95"/>
    <x v="0"/>
  </r>
  <r>
    <s v="P295"/>
    <s v="Orthopedics"/>
    <s v="Surgery"/>
    <s v="Dr. L. Khan"/>
    <s v="Male"/>
    <n v="78"/>
    <n v="46193"/>
    <n v="6"/>
    <n v="93"/>
    <x v="1"/>
  </r>
  <r>
    <s v="P296"/>
    <s v="Pediatrics"/>
    <s v="Surgery"/>
    <s v="Dr. M. Patel"/>
    <s v="Female"/>
    <n v="16"/>
    <n v="50419"/>
    <n v="7"/>
    <n v="89"/>
    <x v="1"/>
  </r>
  <r>
    <s v="P297"/>
    <s v="Orthopedics"/>
    <s v="Surgery"/>
    <s v="Dr. R. Singh"/>
    <s v="Female"/>
    <n v="74"/>
    <n v="31182"/>
    <n v="18"/>
    <n v="83"/>
    <x v="1"/>
  </r>
  <r>
    <s v="P298"/>
    <s v="Gastroenterology"/>
    <s v="Observation"/>
    <s v="Dr. A. Sharma"/>
    <s v="Female"/>
    <n v="64"/>
    <n v="60013"/>
    <n v="7"/>
    <n v="74"/>
    <x v="0"/>
  </r>
  <r>
    <s v="P299"/>
    <s v="Orthopedics"/>
    <s v="Therapy"/>
    <s v="Dr. R. Singh"/>
    <s v="Male"/>
    <n v="59"/>
    <n v="160276"/>
    <n v="18"/>
    <n v="75"/>
    <x v="0"/>
  </r>
  <r>
    <s v="P300"/>
    <s v="Orthopedics"/>
    <s v="Therapy"/>
    <s v="Dr. L. Khan"/>
    <s v="Male"/>
    <n v="33"/>
    <n v="28980"/>
    <n v="16"/>
    <n v="75"/>
    <x v="1"/>
  </r>
  <r>
    <s v="P301"/>
    <s v="Oncology"/>
    <s v="Observation"/>
    <s v="Dr. M. Patel"/>
    <s v="Female"/>
    <n v="32"/>
    <n v="77683"/>
    <n v="6"/>
    <n v="50"/>
    <x v="0"/>
  </r>
  <r>
    <s v="P302"/>
    <s v="Pediatrics"/>
    <s v="Therapy"/>
    <s v="Dr. R. Singh"/>
    <s v="Female"/>
    <n v="76"/>
    <n v="51359"/>
    <n v="30"/>
    <n v="52"/>
    <x v="1"/>
  </r>
  <r>
    <s v="P303"/>
    <s v="Neurology"/>
    <s v="Medication"/>
    <s v="Dr. L. Khan"/>
    <s v="Male"/>
    <n v="23"/>
    <n v="78579"/>
    <n v="20"/>
    <n v="67"/>
    <x v="0"/>
  </r>
  <r>
    <s v="P304"/>
    <s v="Neurology"/>
    <s v="Observation"/>
    <s v="Dr. A. Sharma"/>
    <s v="Female"/>
    <n v="81"/>
    <n v="90520"/>
    <n v="15"/>
    <n v="92"/>
    <x v="0"/>
  </r>
  <r>
    <s v="P305"/>
    <s v="Orthopedics"/>
    <s v="Therapy"/>
    <s v="Dr. T. Mehta"/>
    <s v="Female"/>
    <n v="24"/>
    <n v="131871"/>
    <n v="6"/>
    <n v="92"/>
    <x v="0"/>
  </r>
  <r>
    <s v="P306"/>
    <s v="Orthopedics"/>
    <s v="Observation"/>
    <s v="Dr. A. Sharma"/>
    <s v="Male"/>
    <n v="64"/>
    <n v="85240"/>
    <n v="5"/>
    <n v="75"/>
    <x v="0"/>
  </r>
  <r>
    <s v="P307"/>
    <s v="Neurology"/>
    <s v="Observation"/>
    <s v="Dr. R. Singh"/>
    <s v="Male"/>
    <n v="23"/>
    <n v="31257"/>
    <n v="6"/>
    <n v="65"/>
    <x v="1"/>
  </r>
  <r>
    <s v="P308"/>
    <s v="Gastroenterology"/>
    <s v="Therapy"/>
    <s v="Dr. A. Sharma"/>
    <s v="Female"/>
    <n v="9"/>
    <n v="35764"/>
    <n v="8"/>
    <n v="94"/>
    <x v="1"/>
  </r>
  <r>
    <s v="P309"/>
    <s v="Oncology"/>
    <s v="Therapy"/>
    <s v="Dr. R. Singh"/>
    <s v="Male"/>
    <n v="19"/>
    <n v="80727"/>
    <n v="10"/>
    <n v="92"/>
    <x v="0"/>
  </r>
  <r>
    <s v="P310"/>
    <s v="Orthopedics"/>
    <s v="Therapy"/>
    <s v="Dr. M. Patel"/>
    <s v="Male"/>
    <n v="40"/>
    <n v="195050"/>
    <n v="12"/>
    <n v="89"/>
    <x v="0"/>
  </r>
  <r>
    <s v="P311"/>
    <s v="Gastroenterology"/>
    <s v="Therapy"/>
    <s v="Dr. L. Khan"/>
    <s v="Female"/>
    <n v="85"/>
    <n v="112607"/>
    <n v="25"/>
    <n v="85"/>
    <x v="0"/>
  </r>
  <r>
    <s v="P312"/>
    <s v="Cardiology"/>
    <s v="Observation"/>
    <s v="Dr. R. Singh"/>
    <s v="Male"/>
    <n v="3"/>
    <n v="47718"/>
    <n v="19"/>
    <n v="53"/>
    <x v="1"/>
  </r>
  <r>
    <s v="P313"/>
    <s v="Pediatrics"/>
    <s v="Medication"/>
    <s v="Dr. T. Mehta"/>
    <s v="Male"/>
    <n v="49"/>
    <n v="106056"/>
    <n v="19"/>
    <n v="57"/>
    <x v="0"/>
  </r>
  <r>
    <s v="P314"/>
    <s v="Pediatrics"/>
    <s v="Observation"/>
    <s v="Dr. A. Sharma"/>
    <s v="Male"/>
    <n v="69"/>
    <n v="40213"/>
    <n v="24"/>
    <n v="72"/>
    <x v="1"/>
  </r>
  <r>
    <s v="P315"/>
    <s v="Orthopedics"/>
    <s v="Therapy"/>
    <s v="Dr. M. Patel"/>
    <s v="Female"/>
    <n v="70"/>
    <n v="146411"/>
    <n v="27"/>
    <n v="82"/>
    <x v="0"/>
  </r>
  <r>
    <s v="P316"/>
    <s v="Pediatrics"/>
    <s v="Therapy"/>
    <s v="Dr. A. Sharma"/>
    <s v="Female"/>
    <n v="20"/>
    <n v="26271"/>
    <n v="18"/>
    <n v="72"/>
    <x v="1"/>
  </r>
  <r>
    <s v="P317"/>
    <s v="Pediatrics"/>
    <s v="Surgery"/>
    <s v="Dr. T. Mehta"/>
    <s v="Male"/>
    <n v="3"/>
    <n v="162199"/>
    <n v="15"/>
    <n v="66"/>
    <x v="0"/>
  </r>
  <r>
    <s v="P318"/>
    <s v="Pediatrics"/>
    <s v="Surgery"/>
    <s v="Dr. L. Khan"/>
    <s v="Male"/>
    <n v="62"/>
    <n v="48531"/>
    <n v="15"/>
    <n v="83"/>
    <x v="1"/>
  </r>
  <r>
    <s v="P319"/>
    <s v="Oncology"/>
    <s v="Surgery"/>
    <s v="Dr. T. Mehta"/>
    <s v="Other"/>
    <n v="12"/>
    <n v="128536"/>
    <n v="10"/>
    <n v="93"/>
    <x v="0"/>
  </r>
  <r>
    <s v="P320"/>
    <s v="Orthopedics"/>
    <s v="Therapy"/>
    <s v="Dr. R. Singh"/>
    <s v="Female"/>
    <n v="58"/>
    <n v="177455"/>
    <n v="25"/>
    <n v="62"/>
    <x v="0"/>
  </r>
  <r>
    <s v="P321"/>
    <s v="Cardiology"/>
    <s v="Surgery"/>
    <s v="Dr. L. Khan"/>
    <s v="Female"/>
    <n v="31"/>
    <n v="157570"/>
    <n v="7"/>
    <n v="60"/>
    <x v="0"/>
  </r>
  <r>
    <s v="P322"/>
    <s v="Pediatrics"/>
    <s v="Observation"/>
    <s v="Dr. A. Sharma"/>
    <s v="Male"/>
    <n v="53"/>
    <n v="86882"/>
    <n v="7"/>
    <n v="73"/>
    <x v="0"/>
  </r>
  <r>
    <s v="P323"/>
    <s v="Neurology"/>
    <s v="Surgery"/>
    <s v="Dr. T. Mehta"/>
    <s v="Female"/>
    <n v="2"/>
    <n v="191016"/>
    <n v="17"/>
    <n v="55"/>
    <x v="0"/>
  </r>
  <r>
    <s v="P324"/>
    <s v="Orthopedics"/>
    <s v="Therapy"/>
    <s v="Dr. A. Sharma"/>
    <s v="Female"/>
    <n v="17"/>
    <n v="46050"/>
    <n v="11"/>
    <n v="86"/>
    <x v="1"/>
  </r>
  <r>
    <s v="P325"/>
    <s v="Oncology"/>
    <s v="Observation"/>
    <s v="Dr. R. Singh"/>
    <s v="Female"/>
    <n v="2"/>
    <n v="99522"/>
    <n v="21"/>
    <n v="68"/>
    <x v="0"/>
  </r>
  <r>
    <s v="P326"/>
    <s v="Pediatrics"/>
    <s v="Medication"/>
    <s v="Dr. R. Singh"/>
    <s v="Male"/>
    <n v="44"/>
    <n v="24046"/>
    <n v="11"/>
    <n v="68"/>
    <x v="1"/>
  </r>
  <r>
    <s v="P327"/>
    <s v="Neurology"/>
    <s v="Surgery"/>
    <s v="Dr. L. Khan"/>
    <s v="Male"/>
    <n v="24"/>
    <n v="64542"/>
    <n v="7"/>
    <n v="85"/>
    <x v="0"/>
  </r>
  <r>
    <s v="P328"/>
    <s v="Gastroenterology"/>
    <s v="Medication"/>
    <s v="Dr. R. Singh"/>
    <s v="Other"/>
    <n v="36"/>
    <n v="135054"/>
    <n v="20"/>
    <n v="52"/>
    <x v="0"/>
  </r>
  <r>
    <s v="P329"/>
    <s v="Gastroenterology"/>
    <s v="Therapy"/>
    <s v="Dr. M. Patel"/>
    <s v="Female"/>
    <n v="55"/>
    <n v="15590"/>
    <n v="27"/>
    <n v="82"/>
    <x v="1"/>
  </r>
  <r>
    <s v="P330"/>
    <s v="Neurology"/>
    <s v="Surgery"/>
    <s v="Dr. A. Sharma"/>
    <s v="Female"/>
    <n v="43"/>
    <n v="188425"/>
    <n v="26"/>
    <n v="88"/>
    <x v="0"/>
  </r>
  <r>
    <s v="P331"/>
    <s v="Cardiology"/>
    <s v="Observation"/>
    <s v="Dr. T. Mehta"/>
    <s v="Female"/>
    <n v="77"/>
    <n v="104037"/>
    <n v="11"/>
    <n v="67"/>
    <x v="0"/>
  </r>
  <r>
    <s v="P332"/>
    <s v="Cardiology"/>
    <s v="Therapy"/>
    <s v="Dr. M. Patel"/>
    <s v="Male"/>
    <n v="85"/>
    <n v="167322"/>
    <n v="19"/>
    <n v="81"/>
    <x v="0"/>
  </r>
  <r>
    <s v="P333"/>
    <s v="Cardiology"/>
    <s v="Therapy"/>
    <s v="Dr. A. Sharma"/>
    <s v="Female"/>
    <n v="11"/>
    <n v="112393"/>
    <n v="6"/>
    <n v="61"/>
    <x v="0"/>
  </r>
  <r>
    <s v="P334"/>
    <s v="Gastroenterology"/>
    <s v="Medication"/>
    <s v="Dr. M. Patel"/>
    <s v="Male"/>
    <n v="67"/>
    <n v="184096"/>
    <n v="21"/>
    <n v="69"/>
    <x v="0"/>
  </r>
  <r>
    <s v="P335"/>
    <s v="Neurology"/>
    <s v="Therapy"/>
    <s v="Dr. L. Khan"/>
    <s v="Male"/>
    <n v="62"/>
    <n v="190730"/>
    <n v="21"/>
    <n v="86"/>
    <x v="0"/>
  </r>
  <r>
    <s v="P336"/>
    <s v="Oncology"/>
    <s v="Therapy"/>
    <s v="Dr. A. Sharma"/>
    <s v="Male"/>
    <n v="56"/>
    <n v="25263"/>
    <n v="26"/>
    <n v="65"/>
    <x v="1"/>
  </r>
  <r>
    <s v="P337"/>
    <s v="Neurology"/>
    <s v="Medication"/>
    <s v="Dr. R. Singh"/>
    <s v="Male"/>
    <n v="19"/>
    <n v="187719"/>
    <n v="9"/>
    <n v="84"/>
    <x v="0"/>
  </r>
  <r>
    <s v="P338"/>
    <s v="Orthopedics"/>
    <s v="Medication"/>
    <s v="Dr. T. Mehta"/>
    <s v="Female"/>
    <n v="56"/>
    <n v="181256"/>
    <n v="30"/>
    <n v="83"/>
    <x v="0"/>
  </r>
  <r>
    <s v="P339"/>
    <s v="Pediatrics"/>
    <s v="Therapy"/>
    <s v="Dr. A. Sharma"/>
    <s v="Female"/>
    <n v="47"/>
    <n v="57246"/>
    <n v="10"/>
    <n v="70"/>
    <x v="0"/>
  </r>
  <r>
    <s v="P340"/>
    <s v="Orthopedics"/>
    <s v="Medication"/>
    <s v="Dr. T. Mehta"/>
    <s v="Female"/>
    <n v="82"/>
    <n v="52888"/>
    <n v="17"/>
    <n v="65"/>
    <x v="1"/>
  </r>
  <r>
    <s v="P341"/>
    <s v="Neurology"/>
    <s v="Therapy"/>
    <s v="Dr. A. Sharma"/>
    <s v="Female"/>
    <n v="23"/>
    <n v="193694"/>
    <n v="20"/>
    <n v="75"/>
    <x v="0"/>
  </r>
  <r>
    <s v="P342"/>
    <s v="Neurology"/>
    <s v="Observation"/>
    <s v="Dr. A. Sharma"/>
    <s v="Male"/>
    <n v="1"/>
    <n v="21928"/>
    <n v="6"/>
    <n v="91"/>
    <x v="1"/>
  </r>
  <r>
    <s v="P343"/>
    <s v="Pediatrics"/>
    <s v="Surgery"/>
    <s v="Dr. M. Patel"/>
    <s v="Female"/>
    <n v="85"/>
    <n v="119629"/>
    <n v="9"/>
    <n v="78"/>
    <x v="0"/>
  </r>
  <r>
    <s v="P344"/>
    <s v="Oncology"/>
    <s v="Surgery"/>
    <s v="Dr. R. Singh"/>
    <s v="Male"/>
    <n v="15"/>
    <n v="81778"/>
    <n v="8"/>
    <n v="66"/>
    <x v="0"/>
  </r>
  <r>
    <s v="P345"/>
    <s v="Orthopedics"/>
    <s v="Medication"/>
    <s v="Dr. M. Patel"/>
    <s v="Other"/>
    <n v="61"/>
    <n v="26556"/>
    <n v="12"/>
    <n v="54"/>
    <x v="1"/>
  </r>
  <r>
    <s v="P346"/>
    <s v="Oncology"/>
    <s v="Observation"/>
    <s v="Dr. A. Sharma"/>
    <s v="Female"/>
    <n v="48"/>
    <n v="157592"/>
    <n v="20"/>
    <n v="74"/>
    <x v="0"/>
  </r>
  <r>
    <s v="P347"/>
    <s v="Orthopedics"/>
    <s v="Surgery"/>
    <s v="Dr. A. Sharma"/>
    <s v="Male"/>
    <n v="24"/>
    <n v="181531"/>
    <n v="6"/>
    <n v="67"/>
    <x v="0"/>
  </r>
  <r>
    <s v="P348"/>
    <s v="Pediatrics"/>
    <s v="Medication"/>
    <s v="Dr. A. Sharma"/>
    <s v="Male"/>
    <n v="37"/>
    <n v="58766"/>
    <n v="13"/>
    <n v="69"/>
    <x v="0"/>
  </r>
  <r>
    <s v="P349"/>
    <s v="Cardiology"/>
    <s v="Therapy"/>
    <s v="Dr. R. Singh"/>
    <s v="Male"/>
    <n v="26"/>
    <n v="19771"/>
    <n v="28"/>
    <n v="61"/>
    <x v="1"/>
  </r>
  <r>
    <s v="P350"/>
    <s v="Neurology"/>
    <s v="Therapy"/>
    <s v="Dr. A. Sharma"/>
    <s v="Male"/>
    <n v="22"/>
    <n v="47326"/>
    <n v="19"/>
    <n v="86"/>
    <x v="1"/>
  </r>
  <r>
    <s v="P351"/>
    <s v="Neurology"/>
    <s v="Medication"/>
    <s v="Dr. R. Singh"/>
    <s v="Male"/>
    <n v="43"/>
    <n v="152821"/>
    <n v="9"/>
    <n v="65"/>
    <x v="0"/>
  </r>
  <r>
    <s v="P352"/>
    <s v="Gastroenterology"/>
    <s v="Medication"/>
    <s v="Dr. L. Khan"/>
    <s v="Male"/>
    <n v="10"/>
    <n v="149923"/>
    <n v="17"/>
    <n v="58"/>
    <x v="0"/>
  </r>
  <r>
    <s v="P353"/>
    <s v="Pediatrics"/>
    <s v="Therapy"/>
    <s v="Dr. T. Mehta"/>
    <s v="Male"/>
    <n v="59"/>
    <n v="134074"/>
    <n v="18"/>
    <n v="91"/>
    <x v="0"/>
  </r>
  <r>
    <s v="P354"/>
    <s v="Neurology"/>
    <s v="Surgery"/>
    <s v="Dr. M. Patel"/>
    <s v="Female"/>
    <n v="35"/>
    <n v="159259"/>
    <n v="8"/>
    <n v="69"/>
    <x v="0"/>
  </r>
  <r>
    <s v="P355"/>
    <s v="Orthopedics"/>
    <s v="Therapy"/>
    <s v="Dr. L. Khan"/>
    <s v="Female"/>
    <n v="14"/>
    <n v="181933"/>
    <n v="9"/>
    <n v="74"/>
    <x v="0"/>
  </r>
  <r>
    <s v="P356"/>
    <s v="Gastroenterology"/>
    <s v="Surgery"/>
    <s v="Dr. T. Mehta"/>
    <s v="Male"/>
    <n v="46"/>
    <n v="156183"/>
    <n v="14"/>
    <n v="54"/>
    <x v="0"/>
  </r>
  <r>
    <s v="P357"/>
    <s v="Oncology"/>
    <s v="Observation"/>
    <s v="Dr. L. Khan"/>
    <s v="Male"/>
    <n v="29"/>
    <n v="23318"/>
    <n v="23"/>
    <n v="94"/>
    <x v="1"/>
  </r>
  <r>
    <s v="P358"/>
    <s v="Oncology"/>
    <s v="Therapy"/>
    <s v="Dr. M. Patel"/>
    <s v="Male"/>
    <n v="65"/>
    <n v="153155"/>
    <n v="26"/>
    <n v="74"/>
    <x v="0"/>
  </r>
  <r>
    <s v="P359"/>
    <s v="Neurology"/>
    <s v="Observation"/>
    <s v="Dr. A. Sharma"/>
    <s v="Female"/>
    <n v="58"/>
    <n v="106069"/>
    <n v="25"/>
    <n v="54"/>
    <x v="0"/>
  </r>
  <r>
    <s v="P360"/>
    <s v="Oncology"/>
    <s v="Therapy"/>
    <s v="Dr. R. Singh"/>
    <s v="Female"/>
    <n v="14"/>
    <n v="181631"/>
    <n v="9"/>
    <n v="90"/>
    <x v="0"/>
  </r>
  <r>
    <s v="P361"/>
    <s v="Pediatrics"/>
    <s v="Surgery"/>
    <s v="Dr. R. Singh"/>
    <s v="Female"/>
    <n v="16"/>
    <n v="61847"/>
    <n v="24"/>
    <n v="60"/>
    <x v="0"/>
  </r>
  <r>
    <s v="P362"/>
    <s v="Oncology"/>
    <s v="Medication"/>
    <s v="Dr. T. Mehta"/>
    <s v="Female"/>
    <n v="50"/>
    <n v="87560"/>
    <n v="17"/>
    <n v="69"/>
    <x v="0"/>
  </r>
  <r>
    <s v="P363"/>
    <s v="Oncology"/>
    <s v="Medication"/>
    <s v="Dr. A. Sharma"/>
    <s v="Female"/>
    <n v="5"/>
    <n v="144599"/>
    <n v="5"/>
    <n v="94"/>
    <x v="0"/>
  </r>
  <r>
    <s v="P364"/>
    <s v="Orthopedics"/>
    <s v="Medication"/>
    <s v="Dr. A. Sharma"/>
    <s v="Male"/>
    <n v="54"/>
    <n v="79495"/>
    <n v="6"/>
    <n v="80"/>
    <x v="0"/>
  </r>
  <r>
    <s v="P365"/>
    <s v="Cardiology"/>
    <s v="Surgery"/>
    <s v="Dr. M. Patel"/>
    <s v="Female"/>
    <n v="80"/>
    <n v="169243"/>
    <n v="9"/>
    <n v="78"/>
    <x v="0"/>
  </r>
  <r>
    <s v="P366"/>
    <s v="Pediatrics"/>
    <s v="Surgery"/>
    <s v="Dr. M. Patel"/>
    <s v="Male"/>
    <n v="64"/>
    <n v="149582"/>
    <n v="22"/>
    <n v="70"/>
    <x v="0"/>
  </r>
  <r>
    <s v="P367"/>
    <s v="Neurology"/>
    <s v="Observation"/>
    <s v="Dr. R. Singh"/>
    <s v="Male"/>
    <n v="60"/>
    <n v="191088"/>
    <n v="17"/>
    <n v="85"/>
    <x v="0"/>
  </r>
  <r>
    <s v="P368"/>
    <s v="Neurology"/>
    <s v="Therapy"/>
    <s v="Dr. T. Mehta"/>
    <s v="Male"/>
    <n v="85"/>
    <n v="41379"/>
    <n v="3"/>
    <n v="93"/>
    <x v="1"/>
  </r>
  <r>
    <s v="P369"/>
    <s v="Cardiology"/>
    <s v="Medication"/>
    <s v="Dr. T. Mehta"/>
    <s v="Female"/>
    <n v="48"/>
    <n v="23602"/>
    <n v="21"/>
    <n v="89"/>
    <x v="1"/>
  </r>
  <r>
    <s v="P370"/>
    <s v="Gastroenterology"/>
    <s v="Medication"/>
    <s v="Dr. M. Patel"/>
    <s v="Female"/>
    <n v="57"/>
    <n v="67873"/>
    <n v="26"/>
    <n v="60"/>
    <x v="0"/>
  </r>
  <r>
    <s v="P371"/>
    <s v="Cardiology"/>
    <s v="Surgery"/>
    <s v="Dr. A. Sharma"/>
    <s v="Female"/>
    <n v="49"/>
    <n v="76814"/>
    <n v="30"/>
    <n v="68"/>
    <x v="0"/>
  </r>
  <r>
    <s v="P372"/>
    <s v="Neurology"/>
    <s v="Observation"/>
    <s v="Dr. M. Patel"/>
    <s v="Female"/>
    <n v="30"/>
    <n v="131142"/>
    <n v="6"/>
    <n v="58"/>
    <x v="0"/>
  </r>
  <r>
    <s v="P373"/>
    <s v="Orthopedics"/>
    <s v="Surgery"/>
    <s v="Dr. L. Khan"/>
    <s v="Male"/>
    <n v="67"/>
    <n v="33841"/>
    <n v="18"/>
    <n v="93"/>
    <x v="1"/>
  </r>
  <r>
    <s v="P374"/>
    <s v="Oncology"/>
    <s v="Observation"/>
    <s v="Dr. R. Singh"/>
    <s v="Female"/>
    <n v="50"/>
    <n v="67378"/>
    <n v="24"/>
    <n v="83"/>
    <x v="0"/>
  </r>
  <r>
    <s v="P375"/>
    <s v="Orthopedics"/>
    <s v="Observation"/>
    <s v="Dr. T. Mehta"/>
    <s v="Male"/>
    <n v="49"/>
    <n v="94732"/>
    <n v="25"/>
    <n v="86"/>
    <x v="0"/>
  </r>
  <r>
    <s v="P376"/>
    <s v="Orthopedics"/>
    <s v="Therapy"/>
    <s v="Dr. M. Patel"/>
    <s v="Female"/>
    <n v="77"/>
    <n v="76004"/>
    <n v="5"/>
    <n v="79"/>
    <x v="0"/>
  </r>
  <r>
    <s v="P377"/>
    <s v="Pediatrics"/>
    <s v="Therapy"/>
    <s v="Dr. A. Sharma"/>
    <s v="Female"/>
    <n v="45"/>
    <n v="32654"/>
    <n v="21"/>
    <n v="61"/>
    <x v="1"/>
  </r>
  <r>
    <s v="P378"/>
    <s v="Orthopedics"/>
    <s v="Therapy"/>
    <s v="Dr. L. Khan"/>
    <s v="Female"/>
    <n v="58"/>
    <n v="175689"/>
    <n v="8"/>
    <n v="51"/>
    <x v="0"/>
  </r>
  <r>
    <s v="P379"/>
    <s v="Neurology"/>
    <s v="Medication"/>
    <s v="Dr. A. Sharma"/>
    <s v="Female"/>
    <n v="29"/>
    <n v="81297"/>
    <n v="19"/>
    <n v="67"/>
    <x v="0"/>
  </r>
  <r>
    <s v="P380"/>
    <s v="Cardiology"/>
    <s v="Observation"/>
    <s v="Dr. M. Patel"/>
    <s v="Male"/>
    <n v="66"/>
    <n v="139488"/>
    <n v="29"/>
    <n v="79"/>
    <x v="0"/>
  </r>
  <r>
    <s v="P381"/>
    <s v="Gastroenterology"/>
    <s v="Medication"/>
    <s v="Dr. T. Mehta"/>
    <s v="Female"/>
    <n v="63"/>
    <n v="156933"/>
    <n v="9"/>
    <n v="64"/>
    <x v="0"/>
  </r>
  <r>
    <s v="P382"/>
    <s v="Orthopedics"/>
    <s v="Observation"/>
    <s v="Dr. M. Patel"/>
    <s v="Female"/>
    <n v="32"/>
    <n v="90006"/>
    <n v="21"/>
    <n v="79"/>
    <x v="0"/>
  </r>
  <r>
    <s v="P383"/>
    <s v="Gastroenterology"/>
    <s v="Medication"/>
    <s v="Dr. T. Mehta"/>
    <s v="Male"/>
    <n v="79"/>
    <n v="156222"/>
    <n v="10"/>
    <n v="58"/>
    <x v="0"/>
  </r>
  <r>
    <s v="P384"/>
    <s v="Cardiology"/>
    <s v="Surgery"/>
    <s v="Dr. T. Mehta"/>
    <s v="Female"/>
    <n v="43"/>
    <n v="100958"/>
    <n v="4"/>
    <n v="88"/>
    <x v="0"/>
  </r>
  <r>
    <s v="P385"/>
    <s v="Cardiology"/>
    <s v="Therapy"/>
    <s v="Dr. A. Sharma"/>
    <s v="Female"/>
    <n v="83"/>
    <n v="120134"/>
    <n v="21"/>
    <n v="93"/>
    <x v="0"/>
  </r>
  <r>
    <s v="P386"/>
    <s v="Cardiology"/>
    <s v="Medication"/>
    <s v="Dr. A. Sharma"/>
    <s v="Male"/>
    <n v="76"/>
    <n v="140622"/>
    <n v="11"/>
    <n v="79"/>
    <x v="0"/>
  </r>
  <r>
    <s v="P387"/>
    <s v="Orthopedics"/>
    <s v="Medication"/>
    <s v="Dr. M. Patel"/>
    <s v="Male"/>
    <n v="54"/>
    <n v="97246"/>
    <n v="8"/>
    <n v="55"/>
    <x v="0"/>
  </r>
  <r>
    <s v="P388"/>
    <s v="Oncology"/>
    <s v="Medication"/>
    <s v="Dr. A. Sharma"/>
    <s v="Female"/>
    <n v="57"/>
    <n v="27151"/>
    <n v="16"/>
    <n v="52"/>
    <x v="1"/>
  </r>
  <r>
    <s v="P389"/>
    <s v="Neurology"/>
    <s v="Therapy"/>
    <s v="Dr. T. Mehta"/>
    <s v="Female"/>
    <n v="26"/>
    <n v="67948"/>
    <n v="13"/>
    <n v="50"/>
    <x v="0"/>
  </r>
  <r>
    <s v="P390"/>
    <s v="Orthopedics"/>
    <s v="Surgery"/>
    <s v="Dr. T. Mehta"/>
    <s v="Female"/>
    <n v="60"/>
    <n v="188150"/>
    <n v="18"/>
    <n v="87"/>
    <x v="0"/>
  </r>
  <r>
    <s v="P391"/>
    <s v="Neurology"/>
    <s v="Observation"/>
    <s v="Dr. M. Patel"/>
    <s v="Female"/>
    <n v="20"/>
    <n v="47930"/>
    <n v="22"/>
    <n v="58"/>
    <x v="1"/>
  </r>
  <r>
    <s v="P392"/>
    <s v="Oncology"/>
    <s v="Therapy"/>
    <s v="Dr. A. Sharma"/>
    <s v="Male"/>
    <n v="50"/>
    <n v="128001"/>
    <n v="29"/>
    <n v="80"/>
    <x v="0"/>
  </r>
  <r>
    <s v="P393"/>
    <s v="Oncology"/>
    <s v="Medication"/>
    <s v="Dr. L. Khan"/>
    <s v="Female"/>
    <n v="60"/>
    <n v="136739"/>
    <n v="5"/>
    <n v="81"/>
    <x v="0"/>
  </r>
  <r>
    <s v="P394"/>
    <s v="Oncology"/>
    <s v="Observation"/>
    <s v="Dr. R. Singh"/>
    <s v="Male"/>
    <n v="20"/>
    <n v="148473"/>
    <n v="9"/>
    <n v="94"/>
    <x v="0"/>
  </r>
  <r>
    <s v="P395"/>
    <s v="Gastroenterology"/>
    <s v="Therapy"/>
    <s v="Dr. M. Patel"/>
    <s v="Female"/>
    <n v="48"/>
    <n v="102470"/>
    <n v="9"/>
    <n v="86"/>
    <x v="0"/>
  </r>
  <r>
    <s v="P396"/>
    <s v="Neurology"/>
    <s v="Surgery"/>
    <s v="Dr. R. Singh"/>
    <s v="Female"/>
    <n v="81"/>
    <n v="83830"/>
    <n v="28"/>
    <n v="60"/>
    <x v="0"/>
  </r>
  <r>
    <s v="P397"/>
    <s v="Neurology"/>
    <s v="Surgery"/>
    <s v="Dr. R. Singh"/>
    <s v="Male"/>
    <n v="31"/>
    <n v="83260"/>
    <n v="19"/>
    <n v="63"/>
    <x v="0"/>
  </r>
  <r>
    <s v="P398"/>
    <s v="Oncology"/>
    <s v="Surgery"/>
    <s v="Dr. M. Patel"/>
    <s v="Male"/>
    <n v="70"/>
    <n v="196005"/>
    <n v="4"/>
    <n v="77"/>
    <x v="0"/>
  </r>
  <r>
    <s v="P399"/>
    <s v="Neurology"/>
    <s v="Observation"/>
    <s v="Dr. L. Khan"/>
    <s v="Female"/>
    <n v="9"/>
    <n v="61841"/>
    <n v="3"/>
    <n v="85"/>
    <x v="0"/>
  </r>
  <r>
    <s v="P400"/>
    <s v="Orthopedics"/>
    <s v="Observation"/>
    <s v="Dr. A. Sharma"/>
    <s v="Male"/>
    <n v="36"/>
    <n v="97651"/>
    <n v="22"/>
    <n v="84"/>
    <x v="0"/>
  </r>
  <r>
    <s v="P401"/>
    <s v="Cardiology"/>
    <s v="Observation"/>
    <s v="Dr. L. Khan"/>
    <s v="Male"/>
    <n v="84"/>
    <n v="144520"/>
    <n v="3"/>
    <n v="95"/>
    <x v="0"/>
  </r>
  <r>
    <s v="P402"/>
    <s v="Oncology"/>
    <s v="Surgery"/>
    <s v="Dr. L. Khan"/>
    <s v="Female"/>
    <n v="39"/>
    <n v="97644"/>
    <n v="17"/>
    <n v="56"/>
    <x v="0"/>
  </r>
  <r>
    <s v="P403"/>
    <s v="Cardiology"/>
    <s v="Surgery"/>
    <s v="Dr. L. Khan"/>
    <s v="Male"/>
    <n v="33"/>
    <n v="19450"/>
    <n v="6"/>
    <n v="95"/>
    <x v="1"/>
  </r>
  <r>
    <s v="P404"/>
    <s v="Orthopedics"/>
    <s v="Therapy"/>
    <s v="Dr. M. Patel"/>
    <s v="Male"/>
    <n v="79"/>
    <n v="120074"/>
    <n v="9"/>
    <n v="54"/>
    <x v="0"/>
  </r>
  <r>
    <s v="P405"/>
    <s v="Cardiology"/>
    <s v="Surgery"/>
    <s v="Dr. R. Singh"/>
    <s v="Female"/>
    <n v="12"/>
    <n v="149639"/>
    <n v="8"/>
    <n v="88"/>
    <x v="0"/>
  </r>
  <r>
    <s v="P406"/>
    <s v="Cardiology"/>
    <s v="Observation"/>
    <s v="Dr. M. Patel"/>
    <s v="Female"/>
    <n v="2"/>
    <n v="59583"/>
    <n v="30"/>
    <n v="88"/>
    <x v="0"/>
  </r>
  <r>
    <s v="P407"/>
    <s v="Orthopedics"/>
    <s v="Surgery"/>
    <s v="Dr. A. Sharma"/>
    <s v="Male"/>
    <n v="43"/>
    <n v="146936"/>
    <n v="9"/>
    <n v="77"/>
    <x v="0"/>
  </r>
  <r>
    <s v="P408"/>
    <s v="Gastroenterology"/>
    <s v="Medication"/>
    <s v="Dr. R. Singh"/>
    <s v="Female"/>
    <n v="42"/>
    <n v="135598"/>
    <n v="15"/>
    <n v="57"/>
    <x v="0"/>
  </r>
  <r>
    <s v="P409"/>
    <s v="Cardiology"/>
    <s v="Therapy"/>
    <s v="Dr. M. Patel"/>
    <s v="Female"/>
    <n v="21"/>
    <n v="199301"/>
    <n v="28"/>
    <n v="82"/>
    <x v="0"/>
  </r>
  <r>
    <s v="P410"/>
    <s v="Gastroenterology"/>
    <s v="Observation"/>
    <s v="Dr. R. Singh"/>
    <s v="Male"/>
    <n v="65"/>
    <n v="118731"/>
    <n v="19"/>
    <n v="61"/>
    <x v="0"/>
  </r>
  <r>
    <s v="P411"/>
    <s v="Gastroenterology"/>
    <s v="Therapy"/>
    <s v="Dr. A. Sharma"/>
    <s v="Female"/>
    <n v="75"/>
    <n v="86217"/>
    <n v="24"/>
    <n v="72"/>
    <x v="0"/>
  </r>
  <r>
    <s v="P412"/>
    <s v="Cardiology"/>
    <s v="Medication"/>
    <s v="Dr. M. Patel"/>
    <s v="Male"/>
    <n v="61"/>
    <n v="128287"/>
    <n v="10"/>
    <n v="78"/>
    <x v="0"/>
  </r>
  <r>
    <s v="P413"/>
    <s v="Orthopedics"/>
    <s v="Therapy"/>
    <s v="Dr. L. Khan"/>
    <s v="Female"/>
    <n v="66"/>
    <n v="33292"/>
    <n v="24"/>
    <n v="60"/>
    <x v="1"/>
  </r>
  <r>
    <s v="P414"/>
    <s v="Neurology"/>
    <s v="Observation"/>
    <s v="Dr. L. Khan"/>
    <s v="Male"/>
    <n v="31"/>
    <n v="147520"/>
    <n v="18"/>
    <n v="64"/>
    <x v="0"/>
  </r>
  <r>
    <s v="P415"/>
    <s v="Pediatrics"/>
    <s v="Observation"/>
    <s v="Dr. L. Khan"/>
    <s v="Female"/>
    <n v="17"/>
    <n v="133252"/>
    <n v="8"/>
    <n v="82"/>
    <x v="0"/>
  </r>
  <r>
    <s v="P416"/>
    <s v="Orthopedics"/>
    <s v="Medication"/>
    <s v="Dr. M. Patel"/>
    <s v="Male"/>
    <n v="32"/>
    <n v="80181"/>
    <n v="12"/>
    <n v="60"/>
    <x v="0"/>
  </r>
  <r>
    <s v="P417"/>
    <s v="Gastroenterology"/>
    <s v="Therapy"/>
    <s v="Dr. R. Singh"/>
    <s v="Male"/>
    <n v="78"/>
    <n v="131595"/>
    <n v="6"/>
    <n v="85"/>
    <x v="0"/>
  </r>
  <r>
    <s v="P418"/>
    <s v="Cardiology"/>
    <s v="Therapy"/>
    <s v="Dr. M. Patel"/>
    <s v="Female"/>
    <n v="78"/>
    <n v="33183"/>
    <n v="10"/>
    <n v="72"/>
    <x v="1"/>
  </r>
  <r>
    <s v="P419"/>
    <s v="Cardiology"/>
    <s v="Surgery"/>
    <s v="Dr. R. Singh"/>
    <s v="Male"/>
    <n v="85"/>
    <n v="132055"/>
    <n v="21"/>
    <n v="50"/>
    <x v="0"/>
  </r>
  <r>
    <s v="P420"/>
    <s v="Neurology"/>
    <s v="Surgery"/>
    <s v="Dr. A. Sharma"/>
    <s v="Male"/>
    <n v="29"/>
    <n v="24692"/>
    <n v="25"/>
    <n v="64"/>
    <x v="1"/>
  </r>
  <r>
    <s v="P421"/>
    <s v="Cardiology"/>
    <s v="Surgery"/>
    <s v="Dr. A. Sharma"/>
    <s v="Female"/>
    <n v="42"/>
    <n v="193775"/>
    <n v="10"/>
    <n v="95"/>
    <x v="0"/>
  </r>
  <r>
    <s v="P422"/>
    <s v="Pediatrics"/>
    <s v="Medication"/>
    <s v="Dr. L. Khan"/>
    <s v="Female"/>
    <n v="17"/>
    <n v="161448"/>
    <n v="19"/>
    <n v="80"/>
    <x v="0"/>
  </r>
  <r>
    <s v="P423"/>
    <s v="Orthopedics"/>
    <s v="Surgery"/>
    <s v="Dr. L. Khan"/>
    <s v="Female"/>
    <n v="18"/>
    <n v="118508"/>
    <n v="14"/>
    <n v="92"/>
    <x v="0"/>
  </r>
  <r>
    <s v="P424"/>
    <s v="Pediatrics"/>
    <s v="Medication"/>
    <s v="Dr. R. Singh"/>
    <s v="Male"/>
    <n v="66"/>
    <n v="75097"/>
    <n v="17"/>
    <n v="53"/>
    <x v="0"/>
  </r>
  <r>
    <s v="P425"/>
    <s v="Oncology"/>
    <s v="Observation"/>
    <s v="Dr. R. Singh"/>
    <s v="Male"/>
    <n v="40"/>
    <n v="69677"/>
    <n v="4"/>
    <n v="58"/>
    <x v="0"/>
  </r>
  <r>
    <s v="P426"/>
    <s v="Neurology"/>
    <s v="Medication"/>
    <s v="Dr. T. Mehta"/>
    <s v="Female"/>
    <n v="55"/>
    <n v="33295"/>
    <n v="17"/>
    <n v="69"/>
    <x v="1"/>
  </r>
  <r>
    <s v="P427"/>
    <s v="Cardiology"/>
    <s v="Therapy"/>
    <s v="Dr. A. Sharma"/>
    <s v="Female"/>
    <n v="67"/>
    <n v="67264"/>
    <n v="26"/>
    <n v="62"/>
    <x v="0"/>
  </r>
  <r>
    <s v="P428"/>
    <s v="Orthopedics"/>
    <s v="Surgery"/>
    <s v="Dr. M. Patel"/>
    <s v="Male"/>
    <n v="8"/>
    <n v="122076"/>
    <n v="30"/>
    <n v="65"/>
    <x v="0"/>
  </r>
  <r>
    <s v="P429"/>
    <s v="Orthopedics"/>
    <s v="Medication"/>
    <s v="Dr. T. Mehta"/>
    <s v="Female"/>
    <n v="68"/>
    <n v="129818"/>
    <n v="11"/>
    <n v="70"/>
    <x v="0"/>
  </r>
  <r>
    <s v="P430"/>
    <s v="Gastroenterology"/>
    <s v="Therapy"/>
    <s v="Dr. M. Patel"/>
    <s v="Female"/>
    <n v="45"/>
    <n v="183926"/>
    <n v="15"/>
    <n v="53"/>
    <x v="0"/>
  </r>
  <r>
    <s v="P431"/>
    <s v="Oncology"/>
    <s v="Therapy"/>
    <s v="Dr. L. Khan"/>
    <s v="Female"/>
    <n v="31"/>
    <n v="27557"/>
    <n v="15"/>
    <n v="89"/>
    <x v="1"/>
  </r>
  <r>
    <s v="P432"/>
    <s v="Cardiology"/>
    <s v="Surgery"/>
    <s v="Dr. R. Singh"/>
    <s v="Male"/>
    <n v="56"/>
    <n v="164723"/>
    <n v="25"/>
    <n v="70"/>
    <x v="0"/>
  </r>
  <r>
    <s v="P433"/>
    <s v="Orthopedics"/>
    <s v="Observation"/>
    <s v="Dr. R. Singh"/>
    <s v="Female"/>
    <n v="8"/>
    <n v="148321"/>
    <n v="14"/>
    <n v="69"/>
    <x v="0"/>
  </r>
  <r>
    <s v="P434"/>
    <s v="Gastroenterology"/>
    <s v="Observation"/>
    <s v="Dr. T. Mehta"/>
    <s v="Female"/>
    <n v="6"/>
    <n v="23641"/>
    <n v="29"/>
    <n v="74"/>
    <x v="1"/>
  </r>
  <r>
    <s v="P435"/>
    <s v="Oncology"/>
    <s v="Observation"/>
    <s v="Dr. A. Sharma"/>
    <s v="Female"/>
    <n v="35"/>
    <n v="22930"/>
    <n v="20"/>
    <n v="74"/>
    <x v="1"/>
  </r>
  <r>
    <s v="P436"/>
    <s v="Cardiology"/>
    <s v="Therapy"/>
    <s v="Dr. L. Khan"/>
    <s v="Male"/>
    <n v="70"/>
    <n v="57077"/>
    <n v="5"/>
    <n v="51"/>
    <x v="0"/>
  </r>
  <r>
    <s v="P437"/>
    <s v="Oncology"/>
    <s v="Surgery"/>
    <s v="Dr. A. Sharma"/>
    <s v="Male"/>
    <n v="2"/>
    <n v="121083"/>
    <n v="18"/>
    <n v="79"/>
    <x v="0"/>
  </r>
  <r>
    <s v="P438"/>
    <s v="Cardiology"/>
    <s v="Observation"/>
    <s v="Dr. M. Patel"/>
    <s v="Other"/>
    <n v="57"/>
    <n v="190174"/>
    <n v="18"/>
    <n v="64"/>
    <x v="0"/>
  </r>
  <r>
    <s v="P439"/>
    <s v="Neurology"/>
    <s v="Surgery"/>
    <s v="Dr. A. Sharma"/>
    <s v="Female"/>
    <n v="41"/>
    <n v="198865"/>
    <n v="11"/>
    <n v="86"/>
    <x v="0"/>
  </r>
  <r>
    <s v="P440"/>
    <s v="Pediatrics"/>
    <s v="Therapy"/>
    <s v="Dr. M. Patel"/>
    <s v="Female"/>
    <n v="9"/>
    <n v="125639"/>
    <n v="19"/>
    <n v="53"/>
    <x v="0"/>
  </r>
  <r>
    <s v="P441"/>
    <s v="Pediatrics"/>
    <s v="Surgery"/>
    <s v="Dr. R. Singh"/>
    <s v="Male"/>
    <n v="40"/>
    <n v="86768"/>
    <n v="15"/>
    <n v="79"/>
    <x v="0"/>
  </r>
  <r>
    <s v="P442"/>
    <s v="Pediatrics"/>
    <s v="Surgery"/>
    <s v="Dr. A. Sharma"/>
    <s v="Male"/>
    <n v="78"/>
    <n v="108547"/>
    <n v="8"/>
    <n v="80"/>
    <x v="0"/>
  </r>
  <r>
    <s v="P443"/>
    <s v="Oncology"/>
    <s v="Medication"/>
    <s v="Dr. A. Sharma"/>
    <s v="Female"/>
    <n v="1"/>
    <n v="68623"/>
    <n v="25"/>
    <n v="50"/>
    <x v="0"/>
  </r>
  <r>
    <s v="P444"/>
    <s v="Cardiology"/>
    <s v="Surgery"/>
    <s v="Dr. R. Singh"/>
    <s v="Male"/>
    <n v="48"/>
    <n v="86251"/>
    <n v="22"/>
    <n v="58"/>
    <x v="0"/>
  </r>
  <r>
    <s v="P445"/>
    <s v="Neurology"/>
    <s v="Therapy"/>
    <s v="Dr. A. Sharma"/>
    <s v="Male"/>
    <n v="66"/>
    <n v="57254"/>
    <n v="22"/>
    <n v="93"/>
    <x v="0"/>
  </r>
  <r>
    <s v="P446"/>
    <s v="Pediatrics"/>
    <s v="Observation"/>
    <s v="Dr. M. Patel"/>
    <s v="Male"/>
    <n v="71"/>
    <n v="196528"/>
    <n v="14"/>
    <n v="60"/>
    <x v="0"/>
  </r>
  <r>
    <s v="P447"/>
    <s v="Neurology"/>
    <s v="Medication"/>
    <s v="Dr. R. Singh"/>
    <s v="Male"/>
    <n v="25"/>
    <n v="36619"/>
    <n v="27"/>
    <n v="60"/>
    <x v="1"/>
  </r>
  <r>
    <s v="P448"/>
    <s v="Cardiology"/>
    <s v="Therapy"/>
    <s v="Dr. T. Mehta"/>
    <s v="Male"/>
    <n v="78"/>
    <n v="108284"/>
    <n v="25"/>
    <n v="67"/>
    <x v="0"/>
  </r>
  <r>
    <s v="P449"/>
    <s v="Orthopedics"/>
    <s v="Therapy"/>
    <s v="Dr. T. Mehta"/>
    <s v="Female"/>
    <n v="47"/>
    <n v="189668"/>
    <n v="10"/>
    <n v="76"/>
    <x v="0"/>
  </r>
  <r>
    <s v="P450"/>
    <s v="Orthopedics"/>
    <s v="Medication"/>
    <s v="Dr. T. Mehta"/>
    <s v="Female"/>
    <n v="55"/>
    <n v="55346"/>
    <n v="15"/>
    <n v="74"/>
    <x v="0"/>
  </r>
  <r>
    <s v="P451"/>
    <s v="Orthopedics"/>
    <s v="Therapy"/>
    <s v="Dr. L. Khan"/>
    <s v="Female"/>
    <n v="4"/>
    <n v="75776"/>
    <n v="21"/>
    <n v="65"/>
    <x v="0"/>
  </r>
  <r>
    <s v="P452"/>
    <s v="Cardiology"/>
    <s v="Observation"/>
    <s v="Dr. T. Mehta"/>
    <s v="Male"/>
    <n v="13"/>
    <n v="128289"/>
    <n v="19"/>
    <n v="77"/>
    <x v="0"/>
  </r>
  <r>
    <s v="P453"/>
    <s v="Pediatrics"/>
    <s v="Observation"/>
    <s v="Dr. R. Singh"/>
    <s v="Female"/>
    <n v="6"/>
    <n v="120836"/>
    <n v="5"/>
    <n v="53"/>
    <x v="0"/>
  </r>
  <r>
    <s v="P454"/>
    <s v="Gastroenterology"/>
    <s v="Medication"/>
    <s v="Dr. M. Patel"/>
    <s v="Female"/>
    <n v="18"/>
    <n v="52805"/>
    <n v="29"/>
    <n v="87"/>
    <x v="1"/>
  </r>
  <r>
    <s v="P455"/>
    <s v="Cardiology"/>
    <s v="Observation"/>
    <s v="Dr. R. Singh"/>
    <s v="Male"/>
    <n v="81"/>
    <n v="154643"/>
    <n v="19"/>
    <n v="58"/>
    <x v="0"/>
  </r>
  <r>
    <s v="P456"/>
    <s v="Orthopedics"/>
    <s v="Observation"/>
    <s v="Dr. M. Patel"/>
    <s v="Female"/>
    <n v="19"/>
    <n v="25186"/>
    <n v="26"/>
    <n v="75"/>
    <x v="1"/>
  </r>
  <r>
    <s v="P457"/>
    <s v="Cardiology"/>
    <s v="Medication"/>
    <s v="Dr. T. Mehta"/>
    <s v="Female"/>
    <n v="30"/>
    <n v="72734"/>
    <n v="14"/>
    <n v="68"/>
    <x v="0"/>
  </r>
  <r>
    <s v="P458"/>
    <s v="Orthopedics"/>
    <s v="Surgery"/>
    <s v="Dr. A. Sharma"/>
    <s v="Male"/>
    <n v="58"/>
    <n v="163009"/>
    <n v="4"/>
    <n v="71"/>
    <x v="0"/>
  </r>
  <r>
    <s v="P459"/>
    <s v="Orthopedics"/>
    <s v="Medication"/>
    <s v="Dr. L. Khan"/>
    <s v="Male"/>
    <n v="20"/>
    <n v="130536"/>
    <n v="25"/>
    <n v="63"/>
    <x v="0"/>
  </r>
  <r>
    <s v="P460"/>
    <s v="Oncology"/>
    <s v="Therapy"/>
    <s v="Dr. T. Mehta"/>
    <s v="Female"/>
    <n v="74"/>
    <n v="91629"/>
    <n v="14"/>
    <n v="55"/>
    <x v="0"/>
  </r>
  <r>
    <s v="P461"/>
    <s v="Orthopedics"/>
    <s v="Therapy"/>
    <s v="Dr. T. Mehta"/>
    <s v="Male"/>
    <n v="77"/>
    <n v="65160"/>
    <n v="19"/>
    <n v="57"/>
    <x v="0"/>
  </r>
  <r>
    <s v="P462"/>
    <s v="Pediatrics"/>
    <s v="Medication"/>
    <s v="Dr. M. Patel"/>
    <s v="Male"/>
    <n v="37"/>
    <n v="116645"/>
    <n v="5"/>
    <n v="61"/>
    <x v="0"/>
  </r>
  <r>
    <s v="P463"/>
    <s v="Pediatrics"/>
    <s v="Observation"/>
    <s v="Dr. L. Khan"/>
    <s v="Female"/>
    <n v="8"/>
    <n v="62388"/>
    <n v="25"/>
    <n v="57"/>
    <x v="0"/>
  </r>
  <r>
    <s v="P464"/>
    <s v="Oncology"/>
    <s v="Therapy"/>
    <s v="Dr. T. Mehta"/>
    <s v="Female"/>
    <n v="53"/>
    <n v="53276"/>
    <n v="24"/>
    <n v="63"/>
    <x v="1"/>
  </r>
  <r>
    <s v="P465"/>
    <s v="Gastroenterology"/>
    <s v="Medication"/>
    <s v="Dr. T. Mehta"/>
    <s v="Male"/>
    <n v="77"/>
    <n v="64065"/>
    <n v="17"/>
    <n v="67"/>
    <x v="0"/>
  </r>
  <r>
    <s v="P466"/>
    <s v="Neurology"/>
    <s v="Medication"/>
    <s v="Dr. R. Singh"/>
    <s v="Female"/>
    <n v="51"/>
    <n v="141789"/>
    <n v="27"/>
    <n v="85"/>
    <x v="0"/>
  </r>
  <r>
    <s v="P467"/>
    <s v="Oncology"/>
    <s v="Observation"/>
    <s v="Dr. L. Khan"/>
    <s v="Female"/>
    <n v="16"/>
    <n v="97614"/>
    <n v="19"/>
    <n v="71"/>
    <x v="0"/>
  </r>
  <r>
    <s v="P468"/>
    <s v="Cardiology"/>
    <s v="Medication"/>
    <s v="Dr. A. Sharma"/>
    <s v="Male"/>
    <n v="38"/>
    <n v="124599"/>
    <n v="21"/>
    <n v="69"/>
    <x v="0"/>
  </r>
  <r>
    <s v="P469"/>
    <s v="Pediatrics"/>
    <s v="Observation"/>
    <s v="Dr. T. Mehta"/>
    <s v="Female"/>
    <n v="83"/>
    <n v="197057"/>
    <n v="8"/>
    <n v="51"/>
    <x v="0"/>
  </r>
  <r>
    <s v="P470"/>
    <s v="Neurology"/>
    <s v="Observation"/>
    <s v="Dr. A. Sharma"/>
    <s v="Male"/>
    <n v="78"/>
    <n v="77239"/>
    <n v="26"/>
    <n v="72"/>
    <x v="0"/>
  </r>
  <r>
    <s v="P471"/>
    <s v="Neurology"/>
    <s v="Observation"/>
    <s v="Dr. A. Sharma"/>
    <s v="Male"/>
    <n v="2"/>
    <n v="143564"/>
    <n v="21"/>
    <n v="93"/>
    <x v="0"/>
  </r>
  <r>
    <s v="P472"/>
    <s v="Gastroenterology"/>
    <s v="Surgery"/>
    <s v="Dr. L. Khan"/>
    <s v="Male"/>
    <n v="10"/>
    <n v="133744"/>
    <n v="18"/>
    <n v="89"/>
    <x v="0"/>
  </r>
  <r>
    <s v="P473"/>
    <s v="Neurology"/>
    <s v="Observation"/>
    <s v="Dr. A. Sharma"/>
    <s v="Female"/>
    <n v="18"/>
    <n v="148500"/>
    <n v="24"/>
    <n v="90"/>
    <x v="0"/>
  </r>
  <r>
    <s v="P474"/>
    <s v="Pediatrics"/>
    <s v="Therapy"/>
    <s v="Dr. R. Singh"/>
    <s v="Female"/>
    <n v="30"/>
    <n v="63879"/>
    <n v="19"/>
    <n v="50"/>
    <x v="0"/>
  </r>
  <r>
    <s v="P475"/>
    <s v="Neurology"/>
    <s v="Observation"/>
    <s v="Dr. M. Patel"/>
    <s v="Female"/>
    <n v="4"/>
    <n v="159992"/>
    <n v="24"/>
    <n v="59"/>
    <x v="0"/>
  </r>
  <r>
    <s v="P476"/>
    <s v="Gastroenterology"/>
    <s v="Surgery"/>
    <s v="Dr. T. Mehta"/>
    <s v="Male"/>
    <n v="84"/>
    <n v="79986"/>
    <n v="22"/>
    <n v="52"/>
    <x v="0"/>
  </r>
  <r>
    <s v="P477"/>
    <s v="Gastroenterology"/>
    <s v="Observation"/>
    <s v="Dr. T. Mehta"/>
    <s v="Male"/>
    <n v="62"/>
    <n v="113607"/>
    <n v="23"/>
    <n v="65"/>
    <x v="0"/>
  </r>
  <r>
    <s v="P478"/>
    <s v="Neurology"/>
    <s v="Medication"/>
    <s v="Dr. A. Sharma"/>
    <s v="Male"/>
    <n v="76"/>
    <n v="96135"/>
    <n v="17"/>
    <n v="61"/>
    <x v="0"/>
  </r>
  <r>
    <s v="P479"/>
    <s v="Pediatrics"/>
    <s v="Observation"/>
    <s v="Dr. M. Patel"/>
    <s v="Female"/>
    <n v="20"/>
    <n v="126992"/>
    <n v="28"/>
    <n v="63"/>
    <x v="0"/>
  </r>
  <r>
    <s v="P480"/>
    <s v="Gastroenterology"/>
    <s v="Therapy"/>
    <s v="Dr. A. Sharma"/>
    <s v="Female"/>
    <n v="22"/>
    <n v="53692"/>
    <n v="10"/>
    <n v="85"/>
    <x v="1"/>
  </r>
  <r>
    <s v="P481"/>
    <s v="Gastroenterology"/>
    <s v="Therapy"/>
    <s v="Dr. M. Patel"/>
    <s v="Male"/>
    <n v="29"/>
    <n v="119105"/>
    <n v="25"/>
    <n v="66"/>
    <x v="0"/>
  </r>
  <r>
    <s v="P482"/>
    <s v="Gastroenterology"/>
    <s v="Surgery"/>
    <s v="Dr. R. Singh"/>
    <s v="Male"/>
    <n v="20"/>
    <n v="105506"/>
    <n v="7"/>
    <n v="76"/>
    <x v="0"/>
  </r>
  <r>
    <s v="P483"/>
    <s v="Orthopedics"/>
    <s v="Therapy"/>
    <s v="Dr. M. Patel"/>
    <s v="Female"/>
    <n v="64"/>
    <n v="92371"/>
    <n v="16"/>
    <n v="59"/>
    <x v="0"/>
  </r>
  <r>
    <s v="P484"/>
    <s v="Gastroenterology"/>
    <s v="Medication"/>
    <s v="Dr. A. Sharma"/>
    <s v="Male"/>
    <n v="39"/>
    <n v="187247"/>
    <n v="7"/>
    <n v="86"/>
    <x v="0"/>
  </r>
  <r>
    <s v="P485"/>
    <s v="Pediatrics"/>
    <s v="Surgery"/>
    <s v="Dr. T. Mehta"/>
    <s v="Female"/>
    <n v="39"/>
    <n v="28079"/>
    <n v="24"/>
    <n v="86"/>
    <x v="1"/>
  </r>
  <r>
    <s v="P486"/>
    <s v="Cardiology"/>
    <s v="Observation"/>
    <s v="Dr. L. Khan"/>
    <s v="Male"/>
    <n v="1"/>
    <n v="177157"/>
    <n v="4"/>
    <n v="91"/>
    <x v="0"/>
  </r>
  <r>
    <s v="P487"/>
    <s v="Pediatrics"/>
    <s v="Medication"/>
    <s v="Dr. R. Singh"/>
    <s v="Female"/>
    <n v="35"/>
    <n v="121408"/>
    <n v="16"/>
    <n v="95"/>
    <x v="0"/>
  </r>
  <r>
    <s v="P488"/>
    <s v="Oncology"/>
    <s v="Surgery"/>
    <s v="Dr. R. Singh"/>
    <s v="Female"/>
    <n v="27"/>
    <n v="144857"/>
    <n v="18"/>
    <n v="91"/>
    <x v="0"/>
  </r>
  <r>
    <s v="P489"/>
    <s v="Oncology"/>
    <s v="Medication"/>
    <s v="Dr. A. Sharma"/>
    <s v="Female"/>
    <n v="42"/>
    <n v="53740"/>
    <n v="15"/>
    <n v="58"/>
    <x v="1"/>
  </r>
  <r>
    <s v="P490"/>
    <s v="Orthopedics"/>
    <s v="Medication"/>
    <s v="Dr. R. Singh"/>
    <s v="Male"/>
    <n v="49"/>
    <n v="119942"/>
    <n v="23"/>
    <n v="81"/>
    <x v="0"/>
  </r>
  <r>
    <s v="P491"/>
    <s v="Pediatrics"/>
    <s v="Surgery"/>
    <s v="Dr. T. Mehta"/>
    <s v="Female"/>
    <n v="19"/>
    <n v="34696"/>
    <n v="22"/>
    <n v="95"/>
    <x v="1"/>
  </r>
  <r>
    <s v="P492"/>
    <s v="Oncology"/>
    <s v="Surgery"/>
    <s v="Dr. L. Khan"/>
    <s v="Female"/>
    <n v="42"/>
    <n v="93235"/>
    <n v="3"/>
    <n v="83"/>
    <x v="0"/>
  </r>
  <r>
    <s v="P493"/>
    <s v="Oncology"/>
    <s v="Observation"/>
    <s v="Dr. T. Mehta"/>
    <s v="Male"/>
    <n v="46"/>
    <n v="41735"/>
    <n v="3"/>
    <n v="77"/>
    <x v="1"/>
  </r>
  <r>
    <s v="P494"/>
    <s v="Oncology"/>
    <s v="Observation"/>
    <s v="Dr. M. Patel"/>
    <s v="Male"/>
    <n v="5"/>
    <n v="125705"/>
    <n v="13"/>
    <n v="75"/>
    <x v="0"/>
  </r>
  <r>
    <s v="P495"/>
    <s v="Orthopedics"/>
    <s v="Therapy"/>
    <s v="Dr. R. Singh"/>
    <s v="Male"/>
    <n v="76"/>
    <n v="110848"/>
    <n v="12"/>
    <n v="77"/>
    <x v="0"/>
  </r>
  <r>
    <s v="P496"/>
    <s v="Gastroenterology"/>
    <s v="Medication"/>
    <s v="Dr. M. Patel"/>
    <s v="Female"/>
    <n v="38"/>
    <n v="173615"/>
    <n v="29"/>
    <n v="82"/>
    <x v="0"/>
  </r>
  <r>
    <s v="P497"/>
    <s v="Cardiology"/>
    <s v="Surgery"/>
    <s v="Dr. M. Patel"/>
    <s v="Male"/>
    <n v="62"/>
    <n v="145024"/>
    <n v="19"/>
    <n v="56"/>
    <x v="0"/>
  </r>
  <r>
    <s v="P498"/>
    <s v="Orthopedics"/>
    <s v="Therapy"/>
    <s v="Dr. L. Khan"/>
    <s v="Female"/>
    <n v="19"/>
    <n v="41531"/>
    <n v="13"/>
    <n v="76"/>
    <x v="1"/>
  </r>
  <r>
    <s v="P499"/>
    <s v="Orthopedics"/>
    <s v="Medication"/>
    <s v="Dr. R. Singh"/>
    <s v="Male"/>
    <n v="35"/>
    <n v="43125"/>
    <n v="12"/>
    <n v="94"/>
    <x v="1"/>
  </r>
  <r>
    <s v="P500"/>
    <s v="Gastroenterology"/>
    <s v="Surgery"/>
    <s v="Dr. A. Sharma"/>
    <s v="Female"/>
    <n v="39"/>
    <n v="50824"/>
    <n v="18"/>
    <n v="50"/>
    <x v="1"/>
  </r>
  <r>
    <m/>
    <m/>
    <m/>
    <m/>
    <m/>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001"/>
    <x v="0"/>
    <s v="Medication"/>
    <s v="Dr. R. Singh"/>
    <s v="Male"/>
    <n v="37"/>
    <n v="167119"/>
    <n v="8"/>
    <n v="92"/>
    <s v="High Cost"/>
    <x v="0"/>
  </r>
  <r>
    <s v="P002"/>
    <x v="1"/>
    <s v="Medication"/>
    <s v="Dr. L. Khan"/>
    <s v="Female"/>
    <n v="71"/>
    <n v="21668"/>
    <n v="20"/>
    <n v="85"/>
    <s v="Low Cost"/>
    <x v="1"/>
  </r>
  <r>
    <s v="P003"/>
    <x v="1"/>
    <s v="Therapy"/>
    <s v="Dr. M. Patel"/>
    <s v="Male"/>
    <n v="3"/>
    <n v="28596"/>
    <n v="4"/>
    <n v="82"/>
    <s v="Low Cost"/>
    <x v="2"/>
  </r>
  <r>
    <s v="P004"/>
    <x v="2"/>
    <s v="Medication"/>
    <s v="Dr. L. Khan"/>
    <s v="Female"/>
    <n v="42"/>
    <n v="133591"/>
    <n v="12"/>
    <n v="73"/>
    <s v="High Cost"/>
    <x v="0"/>
  </r>
  <r>
    <s v="P005"/>
    <x v="3"/>
    <s v="Therapy"/>
    <s v="Dr. A. Sharma"/>
    <s v="Female"/>
    <n v="73"/>
    <n v="163495"/>
    <n v="24"/>
    <n v="53"/>
    <s v="High Cost"/>
    <x v="1"/>
  </r>
  <r>
    <s v="P006"/>
    <x v="4"/>
    <s v="Observation"/>
    <s v="Dr. A. Sharma"/>
    <s v="Male"/>
    <n v="31"/>
    <n v="176667"/>
    <n v="13"/>
    <n v="73"/>
    <s v="High Cost"/>
    <x v="0"/>
  </r>
  <r>
    <s v="P007"/>
    <x v="4"/>
    <s v="Therapy"/>
    <s v="Dr. R. Singh"/>
    <s v="Female"/>
    <n v="69"/>
    <n v="22784"/>
    <n v="24"/>
    <n v="57"/>
    <s v="Low Cost"/>
    <x v="1"/>
  </r>
  <r>
    <s v="P008"/>
    <x v="3"/>
    <s v="Medication"/>
    <s v="Dr. A. Sharma"/>
    <s v="Male"/>
    <n v="34"/>
    <n v="131608"/>
    <n v="4"/>
    <n v="77"/>
    <s v="High Cost"/>
    <x v="0"/>
  </r>
  <r>
    <s v="P009"/>
    <x v="1"/>
    <s v="Surgery"/>
    <s v="Dr. T. Mehta"/>
    <s v="Female"/>
    <n v="54"/>
    <n v="139591"/>
    <n v="23"/>
    <n v="95"/>
    <s v="High Cost"/>
    <x v="3"/>
  </r>
  <r>
    <s v="P010"/>
    <x v="4"/>
    <s v="Surgery"/>
    <s v="Dr. L. Khan"/>
    <s v="Female"/>
    <n v="29"/>
    <n v="166033"/>
    <n v="27"/>
    <n v="74"/>
    <s v="High Cost"/>
    <x v="4"/>
  </r>
  <r>
    <s v="P011"/>
    <x v="1"/>
    <s v="Surgery"/>
    <s v="Dr. L. Khan"/>
    <s v="Male"/>
    <n v="9"/>
    <n v="88354"/>
    <n v="6"/>
    <n v="84"/>
    <s v="High Cost"/>
    <x v="5"/>
  </r>
  <r>
    <s v="P012"/>
    <x v="5"/>
    <s v="Therapy"/>
    <s v="Dr. L. Khan"/>
    <s v="Female"/>
    <n v="80"/>
    <n v="195118"/>
    <n v="26"/>
    <n v="59"/>
    <s v="High Cost"/>
    <x v="6"/>
  </r>
  <r>
    <s v="P013"/>
    <x v="0"/>
    <s v="Therapy"/>
    <s v="Dr. M. Patel"/>
    <s v="Female"/>
    <n v="50"/>
    <n v="47354"/>
    <n v="19"/>
    <n v="64"/>
    <s v="Low Cost"/>
    <x v="3"/>
  </r>
  <r>
    <s v="P014"/>
    <x v="2"/>
    <s v="Therapy"/>
    <s v="Dr. T. Mehta"/>
    <s v="Female"/>
    <n v="82"/>
    <n v="191304"/>
    <n v="13"/>
    <n v="59"/>
    <s v="High Cost"/>
    <x v="6"/>
  </r>
  <r>
    <s v="P015"/>
    <x v="5"/>
    <s v="Therapy"/>
    <s v="Dr. M. Patel"/>
    <s v="Female"/>
    <n v="9"/>
    <n v="189177"/>
    <n v="15"/>
    <n v="64"/>
    <s v="High Cost"/>
    <x v="5"/>
  </r>
  <r>
    <s v="P016"/>
    <x v="1"/>
    <s v="Therapy"/>
    <s v="Dr. T. Mehta"/>
    <s v="Other"/>
    <n v="82"/>
    <n v="98912"/>
    <n v="7"/>
    <n v="81"/>
    <s v="High Cost"/>
    <x v="6"/>
  </r>
  <r>
    <s v="P017"/>
    <x v="0"/>
    <s v="Medication"/>
    <s v="Dr. R. Singh"/>
    <s v="Male"/>
    <n v="52"/>
    <n v="104049"/>
    <n v="6"/>
    <n v="95"/>
    <s v="High Cost"/>
    <x v="3"/>
  </r>
  <r>
    <s v="P018"/>
    <x v="0"/>
    <s v="Surgery"/>
    <s v="Dr. M. Patel"/>
    <s v="Female"/>
    <n v="29"/>
    <n v="36424"/>
    <n v="14"/>
    <n v="94"/>
    <s v="Low Cost"/>
    <x v="4"/>
  </r>
  <r>
    <s v="P019"/>
    <x v="0"/>
    <s v="Surgery"/>
    <s v="Dr. A. Sharma"/>
    <s v="Female"/>
    <n v="72"/>
    <n v="132986"/>
    <n v="20"/>
    <n v="57"/>
    <s v="High Cost"/>
    <x v="1"/>
  </r>
  <r>
    <s v="P020"/>
    <x v="0"/>
    <s v="Observation"/>
    <s v="Dr. A. Sharma"/>
    <s v="Other"/>
    <n v="52"/>
    <n v="62233"/>
    <n v="13"/>
    <n v="92"/>
    <s v="High Cost"/>
    <x v="3"/>
  </r>
  <r>
    <s v="P021"/>
    <x v="2"/>
    <s v="Medication"/>
    <s v="Dr. L. Khan"/>
    <s v="Male"/>
    <n v="84"/>
    <n v="57606"/>
    <n v="11"/>
    <n v="59"/>
    <s v="High Cost"/>
    <x v="6"/>
  </r>
  <r>
    <s v="P022"/>
    <x v="3"/>
    <s v="Surgery"/>
    <s v="Dr. T. Mehta"/>
    <s v="Female"/>
    <n v="25"/>
    <n v="140610"/>
    <n v="13"/>
    <n v="68"/>
    <s v="High Cost"/>
    <x v="4"/>
  </r>
  <r>
    <s v="P023"/>
    <x v="0"/>
    <s v="Observation"/>
    <s v="Dr. T. Mehta"/>
    <s v="Male"/>
    <n v="47"/>
    <n v="78281"/>
    <n v="17"/>
    <n v="78"/>
    <s v="High Cost"/>
    <x v="3"/>
  </r>
  <r>
    <s v="P024"/>
    <x v="5"/>
    <s v="Medication"/>
    <s v="Dr. T. Mehta"/>
    <s v="Female"/>
    <n v="38"/>
    <n v="66707"/>
    <n v="19"/>
    <n v="80"/>
    <s v="High Cost"/>
    <x v="0"/>
  </r>
  <r>
    <s v="P025"/>
    <x v="2"/>
    <s v="Medication"/>
    <s v="Dr. R. Singh"/>
    <s v="Male"/>
    <n v="64"/>
    <n v="168778"/>
    <n v="7"/>
    <n v="90"/>
    <s v="High Cost"/>
    <x v="1"/>
  </r>
  <r>
    <s v="P026"/>
    <x v="3"/>
    <s v="Medication"/>
    <s v="Dr. A. Sharma"/>
    <s v="Female"/>
    <n v="60"/>
    <n v="61181"/>
    <n v="18"/>
    <n v="86"/>
    <s v="High Cost"/>
    <x v="1"/>
  </r>
  <r>
    <s v="P027"/>
    <x v="4"/>
    <s v="Surgery"/>
    <s v="Dr. L. Khan"/>
    <s v="Male"/>
    <n v="48"/>
    <n v="99996"/>
    <n v="17"/>
    <n v="50"/>
    <s v="High Cost"/>
    <x v="3"/>
  </r>
  <r>
    <s v="P028"/>
    <x v="5"/>
    <s v="Therapy"/>
    <s v="Dr. T. Mehta"/>
    <s v="Male"/>
    <n v="26"/>
    <n v="26541"/>
    <n v="15"/>
    <n v="82"/>
    <s v="Low Cost"/>
    <x v="4"/>
  </r>
  <r>
    <s v="P029"/>
    <x v="4"/>
    <s v="Surgery"/>
    <s v="Dr. T. Mehta"/>
    <s v="Male"/>
    <n v="70"/>
    <n v="29017"/>
    <n v="3"/>
    <n v="82"/>
    <s v="Low Cost"/>
    <x v="1"/>
  </r>
  <r>
    <s v="P030"/>
    <x v="5"/>
    <s v="Therapy"/>
    <s v="Dr. T. Mehta"/>
    <s v="Female"/>
    <n v="25"/>
    <n v="56689"/>
    <n v="19"/>
    <n v="91"/>
    <s v="High Cost"/>
    <x v="4"/>
  </r>
  <r>
    <s v="P031"/>
    <x v="3"/>
    <s v="Observation"/>
    <s v="Dr. M. Patel"/>
    <s v="Female"/>
    <n v="75"/>
    <n v="30104"/>
    <n v="12"/>
    <n v="63"/>
    <s v="Low Cost"/>
    <x v="6"/>
  </r>
  <r>
    <s v="P032"/>
    <x v="4"/>
    <s v="Observation"/>
    <s v="Dr. T. Mehta"/>
    <s v="Female"/>
    <n v="64"/>
    <n v="186428"/>
    <n v="29"/>
    <n v="51"/>
    <s v="High Cost"/>
    <x v="1"/>
  </r>
  <r>
    <s v="P033"/>
    <x v="0"/>
    <s v="Medication"/>
    <s v="Dr. R. Singh"/>
    <s v="Female"/>
    <n v="43"/>
    <n v="198390"/>
    <n v="5"/>
    <n v="63"/>
    <s v="High Cost"/>
    <x v="0"/>
  </r>
  <r>
    <s v="P034"/>
    <x v="4"/>
    <s v="Surgery"/>
    <s v="Dr. L. Khan"/>
    <s v="Female"/>
    <n v="73"/>
    <n v="87668"/>
    <n v="17"/>
    <n v="56"/>
    <s v="High Cost"/>
    <x v="1"/>
  </r>
  <r>
    <s v="P035"/>
    <x v="0"/>
    <s v="Surgery"/>
    <s v="Dr. T. Mehta"/>
    <s v="Female"/>
    <n v="58"/>
    <n v="192660"/>
    <n v="16"/>
    <n v="59"/>
    <s v="High Cost"/>
    <x v="3"/>
  </r>
  <r>
    <s v="P036"/>
    <x v="5"/>
    <s v="Therapy"/>
    <s v="Dr. M. Patel"/>
    <s v="Female"/>
    <n v="10"/>
    <n v="26986"/>
    <n v="4"/>
    <n v="87"/>
    <s v="Low Cost"/>
    <x v="5"/>
  </r>
  <r>
    <s v="P037"/>
    <x v="2"/>
    <s v="Surgery"/>
    <s v="Dr. A. Sharma"/>
    <s v="Female"/>
    <n v="37"/>
    <n v="46357"/>
    <n v="6"/>
    <n v="91"/>
    <s v="Low Cost"/>
    <x v="0"/>
  </r>
  <r>
    <s v="P038"/>
    <x v="2"/>
    <s v="Observation"/>
    <s v="Dr. L. Khan"/>
    <s v="Male"/>
    <n v="46"/>
    <n v="134575"/>
    <n v="7"/>
    <n v="83"/>
    <s v="High Cost"/>
    <x v="3"/>
  </r>
  <r>
    <s v="P039"/>
    <x v="5"/>
    <s v="Observation"/>
    <s v="Dr. M. Patel"/>
    <s v="Male"/>
    <n v="82"/>
    <n v="131767"/>
    <n v="11"/>
    <n v="82"/>
    <s v="High Cost"/>
    <x v="6"/>
  </r>
  <r>
    <s v="P040"/>
    <x v="2"/>
    <s v="Observation"/>
    <s v="Dr. L. Khan"/>
    <s v="Female"/>
    <n v="53"/>
    <n v="62796"/>
    <n v="8"/>
    <n v="92"/>
    <s v="High Cost"/>
    <x v="3"/>
  </r>
  <r>
    <s v="P041"/>
    <x v="3"/>
    <s v="Surgery"/>
    <s v="Dr. T. Mehta"/>
    <s v="Male"/>
    <n v="19"/>
    <n v="21765"/>
    <n v="20"/>
    <n v="72"/>
    <s v="Low Cost"/>
    <x v="7"/>
  </r>
  <r>
    <s v="P042"/>
    <x v="0"/>
    <s v="Observation"/>
    <s v="Dr. A. Sharma"/>
    <s v="Male"/>
    <n v="20"/>
    <n v="192023"/>
    <n v="14"/>
    <n v="79"/>
    <s v="High Cost"/>
    <x v="4"/>
  </r>
  <r>
    <s v="P043"/>
    <x v="2"/>
    <s v="Therapy"/>
    <s v="Dr. A. Sharma"/>
    <s v="Male"/>
    <n v="24"/>
    <n v="161475"/>
    <n v="18"/>
    <n v="71"/>
    <s v="High Cost"/>
    <x v="4"/>
  </r>
  <r>
    <s v="P044"/>
    <x v="0"/>
    <s v="Therapy"/>
    <s v="Dr. L. Khan"/>
    <s v="Female"/>
    <n v="51"/>
    <n v="48789"/>
    <n v="30"/>
    <n v="92"/>
    <s v="Low Cost"/>
    <x v="3"/>
  </r>
  <r>
    <s v="P045"/>
    <x v="5"/>
    <s v="Surgery"/>
    <s v="Dr. L. Khan"/>
    <s v="Male"/>
    <n v="78"/>
    <n v="124093"/>
    <n v="21"/>
    <n v="90"/>
    <s v="High Cost"/>
    <x v="6"/>
  </r>
  <r>
    <s v="P046"/>
    <x v="1"/>
    <s v="Surgery"/>
    <s v="Dr. T. Mehta"/>
    <s v="Female"/>
    <n v="47"/>
    <n v="125840"/>
    <n v="12"/>
    <n v="74"/>
    <s v="High Cost"/>
    <x v="3"/>
  </r>
  <r>
    <s v="P047"/>
    <x v="3"/>
    <s v="Surgery"/>
    <s v="Dr. T. Mehta"/>
    <s v="Female"/>
    <n v="39"/>
    <n v="98947"/>
    <n v="16"/>
    <n v="81"/>
    <s v="High Cost"/>
    <x v="0"/>
  </r>
  <r>
    <s v="P048"/>
    <x v="3"/>
    <s v="Medication"/>
    <s v="Dr. A. Sharma"/>
    <s v="Female"/>
    <n v="22"/>
    <n v="52656"/>
    <n v="4"/>
    <n v="66"/>
    <s v="Low Cost"/>
    <x v="4"/>
  </r>
  <r>
    <s v="P049"/>
    <x v="5"/>
    <s v="Surgery"/>
    <s v="Dr. T. Mehta"/>
    <s v="Female"/>
    <n v="6"/>
    <n v="186434"/>
    <n v="15"/>
    <n v="52"/>
    <s v="High Cost"/>
    <x v="5"/>
  </r>
  <r>
    <s v="P050"/>
    <x v="4"/>
    <s v="Medication"/>
    <s v="Dr. A. Sharma"/>
    <s v="Male"/>
    <n v="15"/>
    <n v="120240"/>
    <n v="30"/>
    <n v="81"/>
    <s v="High Cost"/>
    <x v="7"/>
  </r>
  <r>
    <s v="P051"/>
    <x v="5"/>
    <s v="Observation"/>
    <s v="Dr. T. Mehta"/>
    <s v="Male"/>
    <n v="80"/>
    <n v="39688"/>
    <n v="26"/>
    <n v="73"/>
    <s v="Low Cost"/>
    <x v="6"/>
  </r>
  <r>
    <s v="P052"/>
    <x v="3"/>
    <s v="Surgery"/>
    <s v="Dr. R. Singh"/>
    <s v="Male"/>
    <n v="21"/>
    <n v="101611"/>
    <n v="27"/>
    <n v="89"/>
    <s v="High Cost"/>
    <x v="4"/>
  </r>
  <r>
    <s v="P053"/>
    <x v="1"/>
    <s v="Therapy"/>
    <s v="Dr. L. Khan"/>
    <s v="Male"/>
    <n v="9"/>
    <n v="190841"/>
    <n v="7"/>
    <n v="64"/>
    <s v="High Cost"/>
    <x v="5"/>
  </r>
  <r>
    <s v="P054"/>
    <x v="3"/>
    <s v="Medication"/>
    <s v="Dr. M. Patel"/>
    <s v="Male"/>
    <n v="79"/>
    <n v="134086"/>
    <n v="3"/>
    <n v="67"/>
    <s v="High Cost"/>
    <x v="6"/>
  </r>
  <r>
    <s v="P055"/>
    <x v="2"/>
    <s v="Observation"/>
    <s v="Dr. L. Khan"/>
    <s v="Male"/>
    <n v="47"/>
    <n v="176725"/>
    <n v="15"/>
    <n v="85"/>
    <s v="High Cost"/>
    <x v="3"/>
  </r>
  <r>
    <s v="P056"/>
    <x v="1"/>
    <s v="Surgery"/>
    <s v="Dr. M. Patel"/>
    <s v="Male"/>
    <n v="72"/>
    <n v="19696"/>
    <n v="6"/>
    <n v="93"/>
    <s v="Low Cost"/>
    <x v="1"/>
  </r>
  <r>
    <s v="P057"/>
    <x v="3"/>
    <s v="Medication"/>
    <s v="Dr. L. Khan"/>
    <s v="Female"/>
    <n v="84"/>
    <n v="150623"/>
    <n v="5"/>
    <n v="70"/>
    <s v="High Cost"/>
    <x v="6"/>
  </r>
  <r>
    <s v="P058"/>
    <x v="4"/>
    <s v="Medication"/>
    <s v="Dr. A. Sharma"/>
    <s v="Male"/>
    <n v="41"/>
    <n v="127535"/>
    <n v="22"/>
    <n v="81"/>
    <s v="High Cost"/>
    <x v="0"/>
  </r>
  <r>
    <s v="P059"/>
    <x v="2"/>
    <s v="Observation"/>
    <s v="Dr. T. Mehta"/>
    <s v="Male"/>
    <n v="63"/>
    <n v="47622"/>
    <n v="27"/>
    <n v="91"/>
    <s v="Low Cost"/>
    <x v="1"/>
  </r>
  <r>
    <s v="P060"/>
    <x v="2"/>
    <s v="Observation"/>
    <s v="Dr. R. Singh"/>
    <s v="Male"/>
    <n v="22"/>
    <n v="152274"/>
    <n v="17"/>
    <n v="91"/>
    <s v="High Cost"/>
    <x v="4"/>
  </r>
  <r>
    <s v="P061"/>
    <x v="2"/>
    <s v="Surgery"/>
    <s v="Dr. R. Singh"/>
    <s v="Male"/>
    <n v="28"/>
    <n v="172026"/>
    <n v="28"/>
    <n v="90"/>
    <s v="High Cost"/>
    <x v="4"/>
  </r>
  <r>
    <s v="P062"/>
    <x v="5"/>
    <s v="Observation"/>
    <s v="Dr. M. Patel"/>
    <s v="Female"/>
    <n v="18"/>
    <n v="91976"/>
    <n v="21"/>
    <n v="79"/>
    <s v="High Cost"/>
    <x v="7"/>
  </r>
  <r>
    <s v="P063"/>
    <x v="1"/>
    <s v="Observation"/>
    <s v="Dr. M. Patel"/>
    <s v="Male"/>
    <n v="29"/>
    <n v="184942"/>
    <n v="4"/>
    <n v="59"/>
    <s v="High Cost"/>
    <x v="4"/>
  </r>
  <r>
    <s v="P064"/>
    <x v="3"/>
    <s v="Observation"/>
    <s v="Dr. R. Singh"/>
    <s v="Male"/>
    <n v="53"/>
    <n v="192320"/>
    <n v="3"/>
    <n v="85"/>
    <s v="High Cost"/>
    <x v="3"/>
  </r>
  <r>
    <s v="P065"/>
    <x v="0"/>
    <s v="Observation"/>
    <s v="Dr. L. Khan"/>
    <s v="Female"/>
    <n v="9"/>
    <n v="124494"/>
    <n v="10"/>
    <n v="81"/>
    <s v="High Cost"/>
    <x v="5"/>
  </r>
  <r>
    <s v="P066"/>
    <x v="3"/>
    <s v="Observation"/>
    <s v="Dr. M. Patel"/>
    <s v="Male"/>
    <n v="61"/>
    <n v="183650"/>
    <n v="5"/>
    <n v="89"/>
    <s v="High Cost"/>
    <x v="1"/>
  </r>
  <r>
    <s v="P067"/>
    <x v="3"/>
    <s v="Observation"/>
    <s v="Dr. R. Singh"/>
    <s v="Female"/>
    <n v="80"/>
    <n v="63190"/>
    <n v="28"/>
    <n v="60"/>
    <s v="High Cost"/>
    <x v="6"/>
  </r>
  <r>
    <s v="P068"/>
    <x v="3"/>
    <s v="Therapy"/>
    <s v="Dr. A. Sharma"/>
    <s v="Female"/>
    <n v="68"/>
    <n v="155594"/>
    <n v="7"/>
    <n v="52"/>
    <s v="High Cost"/>
    <x v="1"/>
  </r>
  <r>
    <s v="P069"/>
    <x v="1"/>
    <s v="Therapy"/>
    <s v="Dr. L. Khan"/>
    <s v="Female"/>
    <n v="74"/>
    <n v="106999"/>
    <n v="7"/>
    <n v="88"/>
    <s v="High Cost"/>
    <x v="1"/>
  </r>
  <r>
    <s v="P070"/>
    <x v="4"/>
    <s v="Therapy"/>
    <s v="Dr. A. Sharma"/>
    <s v="Male"/>
    <n v="23"/>
    <n v="70145"/>
    <n v="9"/>
    <n v="68"/>
    <s v="High Cost"/>
    <x v="4"/>
  </r>
  <r>
    <s v="P071"/>
    <x v="0"/>
    <s v="Therapy"/>
    <s v="Dr. T. Mehta"/>
    <s v="Female"/>
    <n v="49"/>
    <n v="100843"/>
    <n v="9"/>
    <n v="66"/>
    <s v="High Cost"/>
    <x v="3"/>
  </r>
  <r>
    <s v="P072"/>
    <x v="4"/>
    <s v="Therapy"/>
    <s v="Dr. R. Singh"/>
    <s v="Male"/>
    <n v="72"/>
    <n v="161955"/>
    <n v="10"/>
    <n v="91"/>
    <s v="High Cost"/>
    <x v="1"/>
  </r>
  <r>
    <s v="P073"/>
    <x v="0"/>
    <s v="Observation"/>
    <s v="Dr. L. Khan"/>
    <s v="Female"/>
    <n v="53"/>
    <n v="66194"/>
    <n v="5"/>
    <n v="52"/>
    <s v="High Cost"/>
    <x v="3"/>
  </r>
  <r>
    <s v="P074"/>
    <x v="3"/>
    <s v="Therapy"/>
    <s v="Dr. M. Patel"/>
    <s v="Male"/>
    <n v="71"/>
    <n v="92027"/>
    <n v="28"/>
    <n v="76"/>
    <s v="High Cost"/>
    <x v="1"/>
  </r>
  <r>
    <s v="P075"/>
    <x v="3"/>
    <s v="Surgery"/>
    <s v="Dr. R. Singh"/>
    <s v="Female"/>
    <n v="47"/>
    <n v="35293"/>
    <n v="9"/>
    <n v="87"/>
    <s v="Low Cost"/>
    <x v="3"/>
  </r>
  <r>
    <s v="P076"/>
    <x v="4"/>
    <s v="Surgery"/>
    <s v="Dr. M. Patel"/>
    <s v="Female"/>
    <n v="67"/>
    <n v="146438"/>
    <n v="7"/>
    <n v="60"/>
    <s v="High Cost"/>
    <x v="1"/>
  </r>
  <r>
    <s v="P077"/>
    <x v="5"/>
    <s v="Medication"/>
    <s v="Dr. A. Sharma"/>
    <s v="Female"/>
    <n v="63"/>
    <n v="162203"/>
    <n v="11"/>
    <n v="59"/>
    <s v="High Cost"/>
    <x v="1"/>
  </r>
  <r>
    <s v="P078"/>
    <x v="0"/>
    <s v="Therapy"/>
    <s v="Dr. A. Sharma"/>
    <s v="Male"/>
    <n v="35"/>
    <n v="179115"/>
    <n v="28"/>
    <n v="54"/>
    <s v="High Cost"/>
    <x v="0"/>
  </r>
  <r>
    <s v="P079"/>
    <x v="2"/>
    <s v="Therapy"/>
    <s v="Dr. R. Singh"/>
    <s v="Male"/>
    <n v="9"/>
    <n v="146103"/>
    <n v="24"/>
    <n v="85"/>
    <s v="High Cost"/>
    <x v="5"/>
  </r>
  <r>
    <s v="P080"/>
    <x v="0"/>
    <s v="Surgery"/>
    <s v="Dr. M. Patel"/>
    <s v="Female"/>
    <n v="36"/>
    <n v="119209"/>
    <n v="17"/>
    <n v="78"/>
    <s v="High Cost"/>
    <x v="0"/>
  </r>
  <r>
    <s v="P081"/>
    <x v="3"/>
    <s v="Surgery"/>
    <s v="Dr. T. Mehta"/>
    <s v="Female"/>
    <n v="60"/>
    <n v="152482"/>
    <n v="17"/>
    <n v="67"/>
    <s v="High Cost"/>
    <x v="1"/>
  </r>
  <r>
    <s v="P082"/>
    <x v="1"/>
    <s v="Therapy"/>
    <s v="Dr. A. Sharma"/>
    <s v="Female"/>
    <n v="25"/>
    <n v="72067"/>
    <n v="7"/>
    <n v="62"/>
    <s v="High Cost"/>
    <x v="4"/>
  </r>
  <r>
    <s v="P083"/>
    <x v="4"/>
    <s v="Medication"/>
    <s v="Dr. R. Singh"/>
    <s v="Male"/>
    <n v="3"/>
    <n v="76800"/>
    <n v="7"/>
    <n v="92"/>
    <s v="High Cost"/>
    <x v="2"/>
  </r>
  <r>
    <s v="P084"/>
    <x v="3"/>
    <s v="Observation"/>
    <s v="Dr. T. Mehta"/>
    <s v="Female"/>
    <n v="79"/>
    <n v="190486"/>
    <n v="16"/>
    <n v="93"/>
    <s v="High Cost"/>
    <x v="6"/>
  </r>
  <r>
    <s v="P085"/>
    <x v="0"/>
    <s v="Medication"/>
    <s v="Dr. A. Sharma"/>
    <s v="Male"/>
    <n v="17"/>
    <n v="29965"/>
    <n v="20"/>
    <n v="57"/>
    <s v="Low Cost"/>
    <x v="7"/>
  </r>
  <r>
    <s v="P086"/>
    <x v="3"/>
    <s v="Surgery"/>
    <s v="Dr. L. Khan"/>
    <s v="Female"/>
    <n v="26"/>
    <n v="128566"/>
    <n v="7"/>
    <n v="92"/>
    <s v="High Cost"/>
    <x v="4"/>
  </r>
  <r>
    <s v="P087"/>
    <x v="2"/>
    <s v="Therapy"/>
    <s v="Dr. T. Mehta"/>
    <s v="Female"/>
    <n v="11"/>
    <n v="80089"/>
    <n v="4"/>
    <n v="79"/>
    <s v="High Cost"/>
    <x v="5"/>
  </r>
  <r>
    <s v="P088"/>
    <x v="2"/>
    <s v="Therapy"/>
    <s v="Dr. A. Sharma"/>
    <s v="Male"/>
    <n v="62"/>
    <n v="190461"/>
    <n v="26"/>
    <n v="65"/>
    <s v="High Cost"/>
    <x v="1"/>
  </r>
  <r>
    <s v="P089"/>
    <x v="3"/>
    <s v="Surgery"/>
    <s v="Dr. M. Patel"/>
    <s v="Female"/>
    <n v="15"/>
    <n v="98934"/>
    <n v="6"/>
    <n v="91"/>
    <s v="High Cost"/>
    <x v="7"/>
  </r>
  <r>
    <s v="P090"/>
    <x v="1"/>
    <s v="Therapy"/>
    <s v="Dr. L. Khan"/>
    <s v="Female"/>
    <n v="6"/>
    <n v="24688"/>
    <n v="19"/>
    <n v="91"/>
    <s v="Low Cost"/>
    <x v="5"/>
  </r>
  <r>
    <s v="P091"/>
    <x v="4"/>
    <s v="Therapy"/>
    <s v="Dr. M. Patel"/>
    <s v="Male"/>
    <n v="40"/>
    <n v="54856"/>
    <n v="13"/>
    <n v="91"/>
    <s v="Low Cost"/>
    <x v="0"/>
  </r>
  <r>
    <s v="P092"/>
    <x v="4"/>
    <s v="Observation"/>
    <s v="Dr. L. Khan"/>
    <s v="Male"/>
    <n v="28"/>
    <n v="150371"/>
    <n v="23"/>
    <n v="71"/>
    <s v="High Cost"/>
    <x v="4"/>
  </r>
  <r>
    <s v="P093"/>
    <x v="3"/>
    <s v="Therapy"/>
    <s v="Dr. M. Patel"/>
    <s v="Female"/>
    <n v="13"/>
    <n v="187266"/>
    <n v="5"/>
    <n v="92"/>
    <s v="High Cost"/>
    <x v="7"/>
  </r>
  <r>
    <s v="P094"/>
    <x v="0"/>
    <s v="Medication"/>
    <s v="Dr. L. Khan"/>
    <s v="Male"/>
    <n v="81"/>
    <n v="84198"/>
    <n v="16"/>
    <n v="87"/>
    <s v="High Cost"/>
    <x v="6"/>
  </r>
  <r>
    <s v="P095"/>
    <x v="3"/>
    <s v="Surgery"/>
    <s v="Dr. L. Khan"/>
    <s v="Male"/>
    <n v="57"/>
    <n v="55722"/>
    <n v="4"/>
    <n v="90"/>
    <s v="High Cost"/>
    <x v="3"/>
  </r>
  <r>
    <s v="P096"/>
    <x v="1"/>
    <s v="Medication"/>
    <s v="Dr. T. Mehta"/>
    <s v="Male"/>
    <n v="35"/>
    <n v="186498"/>
    <n v="14"/>
    <n v="63"/>
    <s v="High Cost"/>
    <x v="0"/>
  </r>
  <r>
    <s v="P097"/>
    <x v="3"/>
    <s v="Therapy"/>
    <s v="Dr. T. Mehta"/>
    <s v="Male"/>
    <n v="68"/>
    <n v="162136"/>
    <n v="27"/>
    <n v="89"/>
    <s v="High Cost"/>
    <x v="1"/>
  </r>
  <r>
    <s v="P098"/>
    <x v="0"/>
    <s v="Observation"/>
    <s v="Dr. A. Sharma"/>
    <s v="Female"/>
    <n v="20"/>
    <n v="26200"/>
    <n v="13"/>
    <n v="94"/>
    <s v="Low Cost"/>
    <x v="4"/>
  </r>
  <r>
    <s v="P099"/>
    <x v="4"/>
    <s v="Observation"/>
    <s v="Dr. M. Patel"/>
    <s v="Female"/>
    <n v="81"/>
    <n v="148284"/>
    <n v="8"/>
    <n v="68"/>
    <s v="High Cost"/>
    <x v="6"/>
  </r>
  <r>
    <s v="P100"/>
    <x v="3"/>
    <s v="Observation"/>
    <s v="Dr. L. Khan"/>
    <s v="Male"/>
    <n v="75"/>
    <n v="92383"/>
    <n v="14"/>
    <n v="73"/>
    <s v="High Cost"/>
    <x v="6"/>
  </r>
  <r>
    <s v="P101"/>
    <x v="5"/>
    <s v="Therapy"/>
    <s v="Dr. L. Khan"/>
    <s v="Male"/>
    <n v="48"/>
    <n v="35633"/>
    <n v="20"/>
    <n v="89"/>
    <s v="Low Cost"/>
    <x v="3"/>
  </r>
  <r>
    <s v="P102"/>
    <x v="4"/>
    <s v="Surgery"/>
    <s v="Dr. A. Sharma"/>
    <s v="Female"/>
    <n v="85"/>
    <n v="150104"/>
    <n v="21"/>
    <n v="95"/>
    <s v="High Cost"/>
    <x v="6"/>
  </r>
  <r>
    <s v="P103"/>
    <x v="1"/>
    <s v="Therapy"/>
    <s v="Dr. L. Khan"/>
    <s v="Female"/>
    <n v="23"/>
    <n v="48056"/>
    <n v="16"/>
    <n v="76"/>
    <s v="Low Cost"/>
    <x v="4"/>
  </r>
  <r>
    <s v="P104"/>
    <x v="0"/>
    <s v="Surgery"/>
    <s v="Dr. T. Mehta"/>
    <s v="Female"/>
    <n v="56"/>
    <n v="44253"/>
    <n v="23"/>
    <n v="85"/>
    <s v="Low Cost"/>
    <x v="3"/>
  </r>
  <r>
    <s v="P105"/>
    <x v="4"/>
    <s v="Medication"/>
    <s v="Dr. L. Khan"/>
    <s v="Female"/>
    <n v="5"/>
    <n v="138456"/>
    <n v="10"/>
    <n v="61"/>
    <s v="High Cost"/>
    <x v="2"/>
  </r>
  <r>
    <s v="P106"/>
    <x v="5"/>
    <s v="Observation"/>
    <s v="Dr. T. Mehta"/>
    <s v="Male"/>
    <n v="58"/>
    <n v="158525"/>
    <n v="5"/>
    <n v="72"/>
    <s v="High Cost"/>
    <x v="3"/>
  </r>
  <r>
    <s v="P107"/>
    <x v="2"/>
    <s v="Therapy"/>
    <s v="Dr. R. Singh"/>
    <s v="Male"/>
    <n v="39"/>
    <n v="38377"/>
    <n v="4"/>
    <n v="63"/>
    <s v="Low Cost"/>
    <x v="0"/>
  </r>
  <r>
    <s v="P108"/>
    <x v="3"/>
    <s v="Surgery"/>
    <s v="Dr. A. Sharma"/>
    <s v="Male"/>
    <n v="42"/>
    <n v="111388"/>
    <n v="29"/>
    <n v="64"/>
    <s v="High Cost"/>
    <x v="0"/>
  </r>
  <r>
    <s v="P109"/>
    <x v="4"/>
    <s v="Surgery"/>
    <s v="Dr. T. Mehta"/>
    <s v="Male"/>
    <n v="29"/>
    <n v="124056"/>
    <n v="5"/>
    <n v="68"/>
    <s v="High Cost"/>
    <x v="4"/>
  </r>
  <r>
    <s v="P110"/>
    <x v="0"/>
    <s v="Therapy"/>
    <s v="Dr. T. Mehta"/>
    <s v="Male"/>
    <n v="45"/>
    <n v="43096"/>
    <n v="20"/>
    <n v="61"/>
    <s v="Low Cost"/>
    <x v="3"/>
  </r>
  <r>
    <s v="P111"/>
    <x v="2"/>
    <s v="Surgery"/>
    <s v="Dr. T. Mehta"/>
    <s v="Female"/>
    <n v="60"/>
    <n v="170881"/>
    <n v="30"/>
    <n v="82"/>
    <s v="High Cost"/>
    <x v="1"/>
  </r>
  <r>
    <s v="P112"/>
    <x v="0"/>
    <s v="Therapy"/>
    <s v="Dr. M. Patel"/>
    <s v="Male"/>
    <n v="83"/>
    <n v="171323"/>
    <n v="9"/>
    <n v="68"/>
    <s v="High Cost"/>
    <x v="6"/>
  </r>
  <r>
    <s v="P113"/>
    <x v="3"/>
    <s v="Surgery"/>
    <s v="Dr. R. Singh"/>
    <s v="Male"/>
    <n v="26"/>
    <n v="132874"/>
    <n v="26"/>
    <n v="77"/>
    <s v="High Cost"/>
    <x v="4"/>
  </r>
  <r>
    <s v="P114"/>
    <x v="0"/>
    <s v="Surgery"/>
    <s v="Dr. R. Singh"/>
    <s v="Male"/>
    <n v="13"/>
    <n v="169010"/>
    <n v="11"/>
    <n v="65"/>
    <s v="High Cost"/>
    <x v="7"/>
  </r>
  <r>
    <s v="P115"/>
    <x v="5"/>
    <s v="Medication"/>
    <s v="Dr. M. Patel"/>
    <s v="Male"/>
    <n v="44"/>
    <n v="193516"/>
    <n v="15"/>
    <n v="66"/>
    <s v="High Cost"/>
    <x v="0"/>
  </r>
  <r>
    <s v="P116"/>
    <x v="1"/>
    <s v="Surgery"/>
    <s v="Dr. R. Singh"/>
    <s v="Female"/>
    <n v="70"/>
    <n v="164581"/>
    <n v="6"/>
    <n v="66"/>
    <s v="High Cost"/>
    <x v="1"/>
  </r>
  <r>
    <s v="P117"/>
    <x v="1"/>
    <s v="Therapy"/>
    <s v="Dr. L. Khan"/>
    <s v="Female"/>
    <n v="81"/>
    <n v="41495"/>
    <n v="16"/>
    <n v="90"/>
    <s v="Low Cost"/>
    <x v="6"/>
  </r>
  <r>
    <s v="P118"/>
    <x v="1"/>
    <s v="Surgery"/>
    <s v="Dr. M. Patel"/>
    <s v="Male"/>
    <n v="81"/>
    <n v="170672"/>
    <n v="9"/>
    <n v="56"/>
    <s v="High Cost"/>
    <x v="6"/>
  </r>
  <r>
    <s v="P119"/>
    <x v="2"/>
    <s v="Surgery"/>
    <s v="Dr. A. Sharma"/>
    <s v="Male"/>
    <n v="73"/>
    <n v="27657"/>
    <n v="17"/>
    <n v="87"/>
    <s v="Low Cost"/>
    <x v="1"/>
  </r>
  <r>
    <s v="P120"/>
    <x v="0"/>
    <s v="Surgery"/>
    <s v="Dr. R. Singh"/>
    <s v="Female"/>
    <n v="5"/>
    <n v="107526"/>
    <n v="27"/>
    <n v="70"/>
    <s v="High Cost"/>
    <x v="2"/>
  </r>
  <r>
    <s v="P121"/>
    <x v="0"/>
    <s v="Medication"/>
    <s v="Dr. L. Khan"/>
    <s v="Male"/>
    <n v="16"/>
    <n v="132833"/>
    <n v="21"/>
    <n v="78"/>
    <s v="High Cost"/>
    <x v="7"/>
  </r>
  <r>
    <s v="P122"/>
    <x v="3"/>
    <s v="Therapy"/>
    <s v="Dr. L. Khan"/>
    <s v="Female"/>
    <n v="3"/>
    <n v="21639"/>
    <n v="26"/>
    <n v="70"/>
    <s v="Low Cost"/>
    <x v="2"/>
  </r>
  <r>
    <s v="P123"/>
    <x v="5"/>
    <s v="Surgery"/>
    <s v="Dr. R. Singh"/>
    <s v="Female"/>
    <n v="27"/>
    <n v="48499"/>
    <n v="17"/>
    <n v="95"/>
    <s v="Low Cost"/>
    <x v="4"/>
  </r>
  <r>
    <s v="P124"/>
    <x v="0"/>
    <s v="Observation"/>
    <s v="Dr. T. Mehta"/>
    <s v="Male"/>
    <n v="24"/>
    <n v="176163"/>
    <n v="29"/>
    <n v="65"/>
    <s v="High Cost"/>
    <x v="4"/>
  </r>
  <r>
    <s v="P125"/>
    <x v="5"/>
    <s v="Observation"/>
    <s v="Dr. M. Patel"/>
    <s v="Female"/>
    <n v="44"/>
    <n v="44469"/>
    <n v="4"/>
    <n v="85"/>
    <s v="Low Cost"/>
    <x v="0"/>
  </r>
  <r>
    <s v="P126"/>
    <x v="5"/>
    <s v="Surgery"/>
    <s v="Dr. L. Khan"/>
    <s v="Female"/>
    <n v="50"/>
    <n v="183513"/>
    <n v="24"/>
    <n v="83"/>
    <s v="High Cost"/>
    <x v="3"/>
  </r>
  <r>
    <s v="P127"/>
    <x v="2"/>
    <s v="Therapy"/>
    <s v="Dr. A. Sharma"/>
    <s v="Male"/>
    <n v="46"/>
    <n v="21466"/>
    <n v="16"/>
    <n v="86"/>
    <s v="Low Cost"/>
    <x v="3"/>
  </r>
  <r>
    <s v="P128"/>
    <x v="5"/>
    <s v="Surgery"/>
    <s v="Dr. M. Patel"/>
    <s v="Female"/>
    <n v="44"/>
    <n v="79182"/>
    <n v="7"/>
    <n v="90"/>
    <s v="High Cost"/>
    <x v="0"/>
  </r>
  <r>
    <s v="P129"/>
    <x v="2"/>
    <s v="Surgery"/>
    <s v="Dr. M. Patel"/>
    <s v="Female"/>
    <n v="51"/>
    <n v="44905"/>
    <n v="7"/>
    <n v="85"/>
    <s v="Low Cost"/>
    <x v="3"/>
  </r>
  <r>
    <s v="P130"/>
    <x v="0"/>
    <s v="Medication"/>
    <s v="Dr. T. Mehta"/>
    <s v="Female"/>
    <n v="81"/>
    <n v="15079"/>
    <n v="17"/>
    <n v="68"/>
    <s v="Low Cost"/>
    <x v="6"/>
  </r>
  <r>
    <s v="P131"/>
    <x v="3"/>
    <s v="Surgery"/>
    <s v="Dr. A. Sharma"/>
    <s v="Female"/>
    <n v="80"/>
    <n v="181447"/>
    <n v="21"/>
    <n v="93"/>
    <s v="High Cost"/>
    <x v="6"/>
  </r>
  <r>
    <s v="P132"/>
    <x v="1"/>
    <s v="Surgery"/>
    <s v="Dr. L. Khan"/>
    <s v="Female"/>
    <n v="34"/>
    <n v="105643"/>
    <n v="5"/>
    <n v="55"/>
    <s v="High Cost"/>
    <x v="0"/>
  </r>
  <r>
    <s v="P133"/>
    <x v="0"/>
    <s v="Therapy"/>
    <s v="Dr. T. Mehta"/>
    <s v="Male"/>
    <n v="21"/>
    <n v="108592"/>
    <n v="16"/>
    <n v="50"/>
    <s v="High Cost"/>
    <x v="4"/>
  </r>
  <r>
    <s v="P134"/>
    <x v="5"/>
    <s v="Surgery"/>
    <s v="Dr. A. Sharma"/>
    <s v="Female"/>
    <n v="3"/>
    <n v="38714"/>
    <n v="13"/>
    <n v="65"/>
    <s v="Low Cost"/>
    <x v="2"/>
  </r>
  <r>
    <s v="P135"/>
    <x v="4"/>
    <s v="Observation"/>
    <s v="Dr. M. Patel"/>
    <s v="Female"/>
    <n v="57"/>
    <n v="135017"/>
    <n v="12"/>
    <n v="69"/>
    <s v="High Cost"/>
    <x v="3"/>
  </r>
  <r>
    <s v="P136"/>
    <x v="5"/>
    <s v="Therapy"/>
    <s v="Dr. L. Khan"/>
    <s v="Female"/>
    <n v="55"/>
    <n v="24172"/>
    <n v="11"/>
    <n v="59"/>
    <s v="Low Cost"/>
    <x v="3"/>
  </r>
  <r>
    <s v="P137"/>
    <x v="3"/>
    <s v="Surgery"/>
    <s v="Dr. T. Mehta"/>
    <s v="Male"/>
    <n v="5"/>
    <n v="182375"/>
    <n v="6"/>
    <n v="57"/>
    <s v="High Cost"/>
    <x v="2"/>
  </r>
  <r>
    <s v="P138"/>
    <x v="1"/>
    <s v="Observation"/>
    <s v="Dr. R. Singh"/>
    <s v="Female"/>
    <n v="69"/>
    <n v="113321"/>
    <n v="26"/>
    <n v="52"/>
    <s v="High Cost"/>
    <x v="1"/>
  </r>
  <r>
    <s v="P139"/>
    <x v="1"/>
    <s v="Medication"/>
    <s v="Dr. A. Sharma"/>
    <s v="Female"/>
    <n v="56"/>
    <n v="174057"/>
    <n v="19"/>
    <n v="84"/>
    <s v="High Cost"/>
    <x v="3"/>
  </r>
  <r>
    <s v="P140"/>
    <x v="2"/>
    <s v="Medication"/>
    <s v="Dr. M. Patel"/>
    <s v="Female"/>
    <n v="74"/>
    <n v="52277"/>
    <n v="8"/>
    <n v="64"/>
    <s v="Low Cost"/>
    <x v="1"/>
  </r>
  <r>
    <s v="P141"/>
    <x v="3"/>
    <s v="Medication"/>
    <s v="Dr. M. Patel"/>
    <s v="Male"/>
    <n v="62"/>
    <n v="169943"/>
    <n v="19"/>
    <n v="56"/>
    <s v="High Cost"/>
    <x v="1"/>
  </r>
  <r>
    <s v="P142"/>
    <x v="4"/>
    <s v="Therapy"/>
    <s v="Dr. M. Patel"/>
    <s v="Female"/>
    <n v="41"/>
    <n v="181589"/>
    <n v="11"/>
    <n v="89"/>
    <s v="High Cost"/>
    <x v="0"/>
  </r>
  <r>
    <s v="P143"/>
    <x v="5"/>
    <s v="Surgery"/>
    <s v="Dr. R. Singh"/>
    <s v="Male"/>
    <n v="31"/>
    <n v="59732"/>
    <n v="24"/>
    <n v="62"/>
    <s v="High Cost"/>
    <x v="0"/>
  </r>
  <r>
    <s v="P144"/>
    <x v="5"/>
    <s v="Therapy"/>
    <s v="Dr. M. Patel"/>
    <s v="Female"/>
    <n v="79"/>
    <n v="15998"/>
    <n v="10"/>
    <n v="75"/>
    <s v="Low Cost"/>
    <x v="6"/>
  </r>
  <r>
    <s v="P145"/>
    <x v="1"/>
    <s v="Therapy"/>
    <s v="Dr. A. Sharma"/>
    <s v="Female"/>
    <n v="61"/>
    <n v="160019"/>
    <n v="18"/>
    <n v="73"/>
    <s v="High Cost"/>
    <x v="1"/>
  </r>
  <r>
    <s v="P146"/>
    <x v="2"/>
    <s v="Medication"/>
    <s v="Dr. A. Sharma"/>
    <s v="Male"/>
    <n v="68"/>
    <n v="134766"/>
    <n v="16"/>
    <n v="62"/>
    <s v="High Cost"/>
    <x v="1"/>
  </r>
  <r>
    <s v="P147"/>
    <x v="5"/>
    <s v="Medication"/>
    <s v="Dr. A. Sharma"/>
    <s v="Female"/>
    <n v="31"/>
    <n v="185566"/>
    <n v="27"/>
    <n v="73"/>
    <s v="High Cost"/>
    <x v="0"/>
  </r>
  <r>
    <s v="P148"/>
    <x v="5"/>
    <s v="Medication"/>
    <s v="Dr. A. Sharma"/>
    <s v="Male"/>
    <n v="19"/>
    <n v="81712"/>
    <n v="3"/>
    <n v="67"/>
    <s v="High Cost"/>
    <x v="7"/>
  </r>
  <r>
    <s v="P149"/>
    <x v="3"/>
    <s v="Therapy"/>
    <s v="Dr. L. Khan"/>
    <s v="Male"/>
    <n v="56"/>
    <n v="75558"/>
    <n v="17"/>
    <n v="80"/>
    <s v="High Cost"/>
    <x v="3"/>
  </r>
  <r>
    <s v="P150"/>
    <x v="2"/>
    <s v="Surgery"/>
    <s v="Dr. M. Patel"/>
    <s v="Female"/>
    <n v="56"/>
    <n v="80141"/>
    <n v="12"/>
    <n v="73"/>
    <s v="High Cost"/>
    <x v="3"/>
  </r>
  <r>
    <s v="P151"/>
    <x v="5"/>
    <s v="Medication"/>
    <s v="Dr. T. Mehta"/>
    <s v="Male"/>
    <n v="33"/>
    <n v="39837"/>
    <n v="19"/>
    <n v="88"/>
    <s v="Low Cost"/>
    <x v="0"/>
  </r>
  <r>
    <s v="P152"/>
    <x v="1"/>
    <s v="Surgery"/>
    <s v="Dr. A. Sharma"/>
    <s v="Female"/>
    <n v="52"/>
    <n v="49814"/>
    <n v="25"/>
    <n v="61"/>
    <s v="Low Cost"/>
    <x v="3"/>
  </r>
  <r>
    <s v="P153"/>
    <x v="3"/>
    <s v="Surgery"/>
    <s v="Dr. M. Patel"/>
    <s v="Male"/>
    <n v="82"/>
    <n v="41064"/>
    <n v="15"/>
    <n v="79"/>
    <s v="Low Cost"/>
    <x v="6"/>
  </r>
  <r>
    <s v="P154"/>
    <x v="5"/>
    <s v="Therapy"/>
    <s v="Dr. M. Patel"/>
    <s v="Female"/>
    <n v="40"/>
    <n v="57384"/>
    <n v="18"/>
    <n v="52"/>
    <s v="High Cost"/>
    <x v="0"/>
  </r>
  <r>
    <s v="P155"/>
    <x v="0"/>
    <s v="Therapy"/>
    <s v="Dr. T. Mehta"/>
    <s v="Female"/>
    <n v="38"/>
    <n v="24188"/>
    <n v="25"/>
    <n v="56"/>
    <s v="Low Cost"/>
    <x v="0"/>
  </r>
  <r>
    <s v="P156"/>
    <x v="2"/>
    <s v="Therapy"/>
    <s v="Dr. M. Patel"/>
    <s v="Male"/>
    <n v="38"/>
    <n v="24945"/>
    <n v="20"/>
    <n v="66"/>
    <s v="Low Cost"/>
    <x v="0"/>
  </r>
  <r>
    <s v="P157"/>
    <x v="4"/>
    <s v="Surgery"/>
    <s v="Dr. R. Singh"/>
    <s v="Female"/>
    <n v="39"/>
    <n v="108824"/>
    <n v="16"/>
    <n v="54"/>
    <s v="High Cost"/>
    <x v="0"/>
  </r>
  <r>
    <s v="P158"/>
    <x v="3"/>
    <s v="Medication"/>
    <s v="Dr. L. Khan"/>
    <s v="Female"/>
    <n v="41"/>
    <n v="193593"/>
    <n v="23"/>
    <n v="95"/>
    <s v="High Cost"/>
    <x v="0"/>
  </r>
  <r>
    <s v="P159"/>
    <x v="4"/>
    <s v="Therapy"/>
    <s v="Dr. A. Sharma"/>
    <s v="Female"/>
    <n v="77"/>
    <n v="107726"/>
    <n v="8"/>
    <n v="83"/>
    <s v="High Cost"/>
    <x v="6"/>
  </r>
  <r>
    <s v="P160"/>
    <x v="4"/>
    <s v="Surgery"/>
    <s v="Dr. A. Sharma"/>
    <s v="Male"/>
    <n v="76"/>
    <n v="199134"/>
    <n v="24"/>
    <n v="84"/>
    <s v="High Cost"/>
    <x v="6"/>
  </r>
  <r>
    <s v="P161"/>
    <x v="1"/>
    <s v="Surgery"/>
    <s v="Dr. L. Khan"/>
    <s v="Female"/>
    <n v="19"/>
    <n v="109563"/>
    <n v="16"/>
    <n v="75"/>
    <s v="High Cost"/>
    <x v="7"/>
  </r>
  <r>
    <s v="P162"/>
    <x v="4"/>
    <s v="Observation"/>
    <s v="Dr. L. Khan"/>
    <s v="Male"/>
    <n v="13"/>
    <n v="162801"/>
    <n v="24"/>
    <n v="87"/>
    <s v="High Cost"/>
    <x v="7"/>
  </r>
  <r>
    <s v="P163"/>
    <x v="5"/>
    <s v="Therapy"/>
    <s v="Dr. A. Sharma"/>
    <s v="Male"/>
    <n v="65"/>
    <n v="175996"/>
    <n v="25"/>
    <n v="93"/>
    <s v="High Cost"/>
    <x v="1"/>
  </r>
  <r>
    <s v="P164"/>
    <x v="3"/>
    <s v="Medication"/>
    <s v="Dr. A. Sharma"/>
    <s v="Female"/>
    <n v="60"/>
    <n v="33596"/>
    <n v="20"/>
    <n v="74"/>
    <s v="Low Cost"/>
    <x v="1"/>
  </r>
  <r>
    <s v="P165"/>
    <x v="1"/>
    <s v="Medication"/>
    <s v="Dr. T. Mehta"/>
    <s v="Male"/>
    <n v="43"/>
    <n v="97298"/>
    <n v="5"/>
    <n v="92"/>
    <s v="High Cost"/>
    <x v="0"/>
  </r>
  <r>
    <s v="P166"/>
    <x v="1"/>
    <s v="Observation"/>
    <s v="Dr. M. Patel"/>
    <s v="Male"/>
    <n v="18"/>
    <n v="99652"/>
    <n v="9"/>
    <n v="77"/>
    <s v="High Cost"/>
    <x v="7"/>
  </r>
  <r>
    <s v="P167"/>
    <x v="1"/>
    <s v="Surgery"/>
    <s v="Dr. T. Mehta"/>
    <s v="Female"/>
    <n v="41"/>
    <n v="85347"/>
    <n v="11"/>
    <n v="54"/>
    <s v="High Cost"/>
    <x v="0"/>
  </r>
  <r>
    <s v="P168"/>
    <x v="0"/>
    <s v="Therapy"/>
    <s v="Dr. L. Khan"/>
    <s v="Male"/>
    <n v="57"/>
    <n v="48535"/>
    <n v="6"/>
    <n v="77"/>
    <s v="Low Cost"/>
    <x v="3"/>
  </r>
  <r>
    <s v="P169"/>
    <x v="2"/>
    <s v="Surgery"/>
    <s v="Dr. R. Singh"/>
    <s v="Female"/>
    <n v="18"/>
    <n v="125819"/>
    <n v="12"/>
    <n v="82"/>
    <s v="High Cost"/>
    <x v="7"/>
  </r>
  <r>
    <s v="P170"/>
    <x v="4"/>
    <s v="Surgery"/>
    <s v="Dr. M. Patel"/>
    <s v="Male"/>
    <n v="38"/>
    <n v="87649"/>
    <n v="12"/>
    <n v="72"/>
    <s v="High Cost"/>
    <x v="0"/>
  </r>
  <r>
    <s v="P171"/>
    <x v="2"/>
    <s v="Observation"/>
    <s v="Dr. R. Singh"/>
    <s v="Female"/>
    <n v="71"/>
    <n v="16843"/>
    <n v="4"/>
    <n v="81"/>
    <s v="Low Cost"/>
    <x v="1"/>
  </r>
  <r>
    <s v="P172"/>
    <x v="3"/>
    <s v="Medication"/>
    <s v="Dr. R. Singh"/>
    <s v="Female"/>
    <n v="52"/>
    <n v="129665"/>
    <n v="23"/>
    <n v="72"/>
    <s v="High Cost"/>
    <x v="3"/>
  </r>
  <r>
    <s v="P173"/>
    <x v="0"/>
    <s v="Observation"/>
    <s v="Dr. L. Khan"/>
    <s v="Female"/>
    <n v="31"/>
    <n v="19680"/>
    <n v="29"/>
    <n v="70"/>
    <s v="Low Cost"/>
    <x v="0"/>
  </r>
  <r>
    <s v="P174"/>
    <x v="0"/>
    <s v="Therapy"/>
    <s v="Dr. A. Sharma"/>
    <s v="Female"/>
    <n v="81"/>
    <n v="48117"/>
    <n v="21"/>
    <n v="67"/>
    <s v="Low Cost"/>
    <x v="6"/>
  </r>
  <r>
    <s v="P175"/>
    <x v="2"/>
    <s v="Surgery"/>
    <s v="Dr. T. Mehta"/>
    <s v="Female"/>
    <n v="36"/>
    <n v="90628"/>
    <n v="27"/>
    <n v="59"/>
    <s v="High Cost"/>
    <x v="0"/>
  </r>
  <r>
    <s v="P176"/>
    <x v="1"/>
    <s v="Observation"/>
    <s v="Dr. T. Mehta"/>
    <s v="Female"/>
    <n v="33"/>
    <n v="22868"/>
    <n v="5"/>
    <n v="53"/>
    <s v="Low Cost"/>
    <x v="0"/>
  </r>
  <r>
    <s v="P177"/>
    <x v="1"/>
    <s v="Observation"/>
    <s v="Dr. R. Singh"/>
    <s v="Female"/>
    <n v="49"/>
    <n v="159122"/>
    <n v="23"/>
    <n v="74"/>
    <s v="High Cost"/>
    <x v="3"/>
  </r>
  <r>
    <s v="P178"/>
    <x v="1"/>
    <s v="Observation"/>
    <s v="Dr. L. Khan"/>
    <s v="Female"/>
    <n v="42"/>
    <n v="71782"/>
    <n v="9"/>
    <n v="77"/>
    <s v="High Cost"/>
    <x v="0"/>
  </r>
  <r>
    <s v="P179"/>
    <x v="5"/>
    <s v="Therapy"/>
    <s v="Dr. L. Khan"/>
    <s v="Female"/>
    <n v="32"/>
    <n v="70482"/>
    <n v="21"/>
    <n v="55"/>
    <s v="High Cost"/>
    <x v="0"/>
  </r>
  <r>
    <s v="P180"/>
    <x v="0"/>
    <s v="Medication"/>
    <s v="Dr. R. Singh"/>
    <s v="Female"/>
    <n v="77"/>
    <n v="117489"/>
    <n v="6"/>
    <n v="77"/>
    <s v="High Cost"/>
    <x v="6"/>
  </r>
  <r>
    <s v="P181"/>
    <x v="2"/>
    <s v="Observation"/>
    <s v="Dr. A. Sharma"/>
    <s v="Male"/>
    <n v="33"/>
    <n v="161902"/>
    <n v="27"/>
    <n v="50"/>
    <s v="High Cost"/>
    <x v="0"/>
  </r>
  <r>
    <s v="P182"/>
    <x v="2"/>
    <s v="Surgery"/>
    <s v="Dr. R. Singh"/>
    <s v="Male"/>
    <n v="51"/>
    <n v="20304"/>
    <n v="17"/>
    <n v="80"/>
    <s v="Low Cost"/>
    <x v="3"/>
  </r>
  <r>
    <s v="P183"/>
    <x v="0"/>
    <s v="Surgery"/>
    <s v="Dr. A. Sharma"/>
    <s v="Other"/>
    <n v="6"/>
    <n v="90802"/>
    <n v="7"/>
    <n v="55"/>
    <s v="High Cost"/>
    <x v="5"/>
  </r>
  <r>
    <s v="P184"/>
    <x v="1"/>
    <s v="Therapy"/>
    <s v="Dr. T. Mehta"/>
    <s v="Female"/>
    <n v="21"/>
    <n v="40710"/>
    <n v="18"/>
    <n v="89"/>
    <s v="Low Cost"/>
    <x v="4"/>
  </r>
  <r>
    <s v="P185"/>
    <x v="3"/>
    <s v="Medication"/>
    <s v="Dr. T. Mehta"/>
    <s v="Female"/>
    <n v="66"/>
    <n v="123295"/>
    <n v="9"/>
    <n v="54"/>
    <s v="High Cost"/>
    <x v="1"/>
  </r>
  <r>
    <s v="P186"/>
    <x v="1"/>
    <s v="Surgery"/>
    <s v="Dr. R. Singh"/>
    <s v="Female"/>
    <n v="60"/>
    <n v="161372"/>
    <n v="14"/>
    <n v="74"/>
    <s v="High Cost"/>
    <x v="1"/>
  </r>
  <r>
    <s v="P187"/>
    <x v="4"/>
    <s v="Observation"/>
    <s v="Dr. T. Mehta"/>
    <s v="Male"/>
    <n v="8"/>
    <n v="101508"/>
    <n v="8"/>
    <n v="86"/>
    <s v="High Cost"/>
    <x v="5"/>
  </r>
  <r>
    <s v="P188"/>
    <x v="0"/>
    <s v="Medication"/>
    <s v="Dr. L. Khan"/>
    <s v="Male"/>
    <n v="60"/>
    <n v="153453"/>
    <n v="19"/>
    <n v="76"/>
    <s v="High Cost"/>
    <x v="1"/>
  </r>
  <r>
    <s v="P189"/>
    <x v="0"/>
    <s v="Therapy"/>
    <s v="Dr. T. Mehta"/>
    <s v="Female"/>
    <n v="29"/>
    <n v="184791"/>
    <n v="19"/>
    <n v="82"/>
    <s v="High Cost"/>
    <x v="4"/>
  </r>
  <r>
    <s v="P190"/>
    <x v="1"/>
    <s v="Medication"/>
    <s v="Dr. R. Singh"/>
    <s v="Male"/>
    <n v="81"/>
    <n v="121064"/>
    <n v="23"/>
    <n v="71"/>
    <s v="High Cost"/>
    <x v="6"/>
  </r>
  <r>
    <s v="P191"/>
    <x v="2"/>
    <s v="Observation"/>
    <s v="Dr. A. Sharma"/>
    <s v="Female"/>
    <n v="60"/>
    <n v="59983"/>
    <n v="15"/>
    <n v="86"/>
    <s v="High Cost"/>
    <x v="1"/>
  </r>
  <r>
    <s v="P192"/>
    <x v="3"/>
    <s v="Observation"/>
    <s v="Dr. M. Patel"/>
    <s v="Male"/>
    <n v="36"/>
    <n v="153347"/>
    <n v="8"/>
    <n v="92"/>
    <s v="High Cost"/>
    <x v="0"/>
  </r>
  <r>
    <s v="P193"/>
    <x v="5"/>
    <s v="Therapy"/>
    <s v="Dr. T. Mehta"/>
    <s v="Female"/>
    <n v="3"/>
    <n v="36600"/>
    <n v="17"/>
    <n v="87"/>
    <s v="Low Cost"/>
    <x v="2"/>
  </r>
  <r>
    <s v="P194"/>
    <x v="4"/>
    <s v="Medication"/>
    <s v="Dr. L. Khan"/>
    <s v="Male"/>
    <n v="46"/>
    <n v="134063"/>
    <n v="3"/>
    <n v="67"/>
    <s v="High Cost"/>
    <x v="3"/>
  </r>
  <r>
    <s v="P195"/>
    <x v="1"/>
    <s v="Surgery"/>
    <s v="Dr. R. Singh"/>
    <s v="Male"/>
    <n v="28"/>
    <n v="135445"/>
    <n v="12"/>
    <n v="80"/>
    <s v="High Cost"/>
    <x v="4"/>
  </r>
  <r>
    <s v="P196"/>
    <x v="1"/>
    <s v="Observation"/>
    <s v="Dr. M. Patel"/>
    <s v="Male"/>
    <n v="73"/>
    <n v="101529"/>
    <n v="19"/>
    <n v="69"/>
    <s v="High Cost"/>
    <x v="1"/>
  </r>
  <r>
    <s v="P197"/>
    <x v="2"/>
    <s v="Surgery"/>
    <s v="Dr. L. Khan"/>
    <s v="Male"/>
    <n v="31"/>
    <n v="168366"/>
    <n v="8"/>
    <n v="76"/>
    <s v="High Cost"/>
    <x v="0"/>
  </r>
  <r>
    <s v="P198"/>
    <x v="0"/>
    <s v="Surgery"/>
    <s v="Dr. A. Sharma"/>
    <s v="Male"/>
    <n v="36"/>
    <n v="28716"/>
    <n v="29"/>
    <n v="73"/>
    <s v="Low Cost"/>
    <x v="0"/>
  </r>
  <r>
    <s v="P199"/>
    <x v="4"/>
    <s v="Medication"/>
    <s v="Dr. M. Patel"/>
    <s v="Male"/>
    <n v="35"/>
    <n v="91050"/>
    <n v="22"/>
    <n v="65"/>
    <s v="High Cost"/>
    <x v="0"/>
  </r>
  <r>
    <s v="P200"/>
    <x v="4"/>
    <s v="Therapy"/>
    <s v="Dr. A. Sharma"/>
    <s v="Female"/>
    <n v="39"/>
    <n v="124862"/>
    <n v="23"/>
    <n v="88"/>
    <s v="High Cost"/>
    <x v="0"/>
  </r>
  <r>
    <s v="P201"/>
    <x v="5"/>
    <s v="Observation"/>
    <s v="Dr. L. Khan"/>
    <s v="Female"/>
    <n v="29"/>
    <n v="116528"/>
    <n v="23"/>
    <n v="53"/>
    <s v="High Cost"/>
    <x v="4"/>
  </r>
  <r>
    <s v="P202"/>
    <x v="3"/>
    <s v="Medication"/>
    <s v="Dr. L. Khan"/>
    <s v="Female"/>
    <n v="30"/>
    <n v="189376"/>
    <n v="14"/>
    <n v="62"/>
    <s v="High Cost"/>
    <x v="0"/>
  </r>
  <r>
    <s v="P203"/>
    <x v="1"/>
    <s v="Therapy"/>
    <s v="Dr. M. Patel"/>
    <s v="Female"/>
    <n v="53"/>
    <n v="82672"/>
    <n v="7"/>
    <n v="58"/>
    <s v="High Cost"/>
    <x v="3"/>
  </r>
  <r>
    <s v="P204"/>
    <x v="4"/>
    <s v="Therapy"/>
    <s v="Dr. T. Mehta"/>
    <s v="Male"/>
    <n v="12"/>
    <n v="32701"/>
    <n v="30"/>
    <n v="94"/>
    <s v="Low Cost"/>
    <x v="5"/>
  </r>
  <r>
    <s v="P205"/>
    <x v="3"/>
    <s v="Surgery"/>
    <s v="Dr. L. Khan"/>
    <s v="Female"/>
    <n v="45"/>
    <n v="60523"/>
    <n v="26"/>
    <n v="74"/>
    <s v="High Cost"/>
    <x v="3"/>
  </r>
  <r>
    <s v="P206"/>
    <x v="0"/>
    <s v="Observation"/>
    <s v="Dr. M. Patel"/>
    <s v="Female"/>
    <n v="72"/>
    <n v="139196"/>
    <n v="15"/>
    <n v="51"/>
    <s v="High Cost"/>
    <x v="1"/>
  </r>
  <r>
    <s v="P207"/>
    <x v="4"/>
    <s v="Surgery"/>
    <s v="Dr. A. Sharma"/>
    <s v="Male"/>
    <n v="52"/>
    <n v="110991"/>
    <n v="7"/>
    <n v="51"/>
    <s v="High Cost"/>
    <x v="3"/>
  </r>
  <r>
    <s v="P208"/>
    <x v="4"/>
    <s v="Surgery"/>
    <s v="Dr. R. Singh"/>
    <s v="Female"/>
    <n v="54"/>
    <n v="178064"/>
    <n v="7"/>
    <n v="67"/>
    <s v="High Cost"/>
    <x v="3"/>
  </r>
  <r>
    <s v="P209"/>
    <x v="0"/>
    <s v="Medication"/>
    <s v="Dr. R. Singh"/>
    <s v="Other"/>
    <n v="49"/>
    <n v="31919"/>
    <n v="18"/>
    <n v="94"/>
    <s v="Low Cost"/>
    <x v="3"/>
  </r>
  <r>
    <s v="P210"/>
    <x v="1"/>
    <s v="Therapy"/>
    <s v="Dr. A. Sharma"/>
    <s v="Male"/>
    <n v="70"/>
    <n v="84569"/>
    <n v="23"/>
    <n v="55"/>
    <s v="High Cost"/>
    <x v="1"/>
  </r>
  <r>
    <s v="P211"/>
    <x v="4"/>
    <s v="Observation"/>
    <s v="Dr. L. Khan"/>
    <s v="Male"/>
    <n v="40"/>
    <n v="124989"/>
    <n v="10"/>
    <n v="50"/>
    <s v="High Cost"/>
    <x v="0"/>
  </r>
  <r>
    <s v="P212"/>
    <x v="1"/>
    <s v="Observation"/>
    <s v="Dr. A. Sharma"/>
    <s v="Male"/>
    <n v="84"/>
    <n v="99429"/>
    <n v="4"/>
    <n v="71"/>
    <s v="High Cost"/>
    <x v="6"/>
  </r>
  <r>
    <s v="P213"/>
    <x v="2"/>
    <s v="Surgery"/>
    <s v="Dr. M. Patel"/>
    <s v="Male"/>
    <n v="1"/>
    <n v="52801"/>
    <n v="17"/>
    <n v="90"/>
    <s v="Low Cost"/>
    <x v="2"/>
  </r>
  <r>
    <s v="P214"/>
    <x v="1"/>
    <s v="Observation"/>
    <s v="Dr. M. Patel"/>
    <s v="Male"/>
    <n v="46"/>
    <n v="51871"/>
    <n v="20"/>
    <n v="82"/>
    <s v="Low Cost"/>
    <x v="3"/>
  </r>
  <r>
    <s v="P215"/>
    <x v="0"/>
    <s v="Observation"/>
    <s v="Dr. T. Mehta"/>
    <s v="Female"/>
    <n v="63"/>
    <n v="110071"/>
    <n v="14"/>
    <n v="55"/>
    <s v="High Cost"/>
    <x v="1"/>
  </r>
  <r>
    <s v="P216"/>
    <x v="1"/>
    <s v="Observation"/>
    <s v="Dr. A. Sharma"/>
    <s v="Male"/>
    <n v="19"/>
    <n v="192248"/>
    <n v="28"/>
    <n v="90"/>
    <s v="High Cost"/>
    <x v="7"/>
  </r>
  <r>
    <s v="P217"/>
    <x v="0"/>
    <s v="Surgery"/>
    <s v="Dr. R. Singh"/>
    <s v="Male"/>
    <n v="56"/>
    <n v="33514"/>
    <n v="18"/>
    <n v="68"/>
    <s v="Low Cost"/>
    <x v="3"/>
  </r>
  <r>
    <s v="P218"/>
    <x v="2"/>
    <s v="Therapy"/>
    <s v="Dr. T. Mehta"/>
    <s v="Male"/>
    <n v="50"/>
    <n v="130778"/>
    <n v="21"/>
    <n v="91"/>
    <s v="High Cost"/>
    <x v="3"/>
  </r>
  <r>
    <s v="P219"/>
    <x v="1"/>
    <s v="Surgery"/>
    <s v="Dr. M. Patel"/>
    <s v="Male"/>
    <n v="11"/>
    <n v="179122"/>
    <n v="17"/>
    <n v="84"/>
    <s v="High Cost"/>
    <x v="5"/>
  </r>
  <r>
    <s v="P220"/>
    <x v="3"/>
    <s v="Surgery"/>
    <s v="Dr. A. Sharma"/>
    <s v="Male"/>
    <n v="39"/>
    <n v="86154"/>
    <n v="4"/>
    <n v="69"/>
    <s v="High Cost"/>
    <x v="0"/>
  </r>
  <r>
    <s v="P221"/>
    <x v="3"/>
    <s v="Observation"/>
    <s v="Dr. A. Sharma"/>
    <s v="Male"/>
    <n v="44"/>
    <n v="39712"/>
    <n v="10"/>
    <n v="55"/>
    <s v="Low Cost"/>
    <x v="0"/>
  </r>
  <r>
    <s v="P222"/>
    <x v="0"/>
    <s v="Therapy"/>
    <s v="Dr. M. Patel"/>
    <s v="Male"/>
    <n v="35"/>
    <n v="51011"/>
    <n v="5"/>
    <n v="64"/>
    <s v="Low Cost"/>
    <x v="0"/>
  </r>
  <r>
    <s v="P223"/>
    <x v="3"/>
    <s v="Therapy"/>
    <s v="Dr. T. Mehta"/>
    <s v="Male"/>
    <n v="47"/>
    <n v="49603"/>
    <n v="18"/>
    <n v="83"/>
    <s v="Low Cost"/>
    <x v="3"/>
  </r>
  <r>
    <s v="P224"/>
    <x v="1"/>
    <s v="Surgery"/>
    <s v="Dr. T. Mehta"/>
    <s v="Female"/>
    <n v="82"/>
    <n v="22764"/>
    <n v="27"/>
    <n v="50"/>
    <s v="Low Cost"/>
    <x v="6"/>
  </r>
  <r>
    <s v="P225"/>
    <x v="1"/>
    <s v="Therapy"/>
    <s v="Dr. R. Singh"/>
    <s v="Female"/>
    <n v="32"/>
    <n v="84984"/>
    <n v="27"/>
    <n v="50"/>
    <s v="High Cost"/>
    <x v="0"/>
  </r>
  <r>
    <s v="P226"/>
    <x v="1"/>
    <s v="Observation"/>
    <s v="Dr. L. Khan"/>
    <s v="Male"/>
    <n v="84"/>
    <n v="101908"/>
    <n v="23"/>
    <n v="52"/>
    <s v="High Cost"/>
    <x v="6"/>
  </r>
  <r>
    <s v="P227"/>
    <x v="4"/>
    <s v="Therapy"/>
    <s v="Dr. R. Singh"/>
    <s v="Female"/>
    <n v="19"/>
    <n v="70118"/>
    <n v="21"/>
    <n v="56"/>
    <s v="High Cost"/>
    <x v="7"/>
  </r>
  <r>
    <s v="P228"/>
    <x v="2"/>
    <s v="Therapy"/>
    <s v="Dr. A. Sharma"/>
    <s v="Male"/>
    <n v="8"/>
    <n v="194831"/>
    <n v="3"/>
    <n v="89"/>
    <s v="High Cost"/>
    <x v="5"/>
  </r>
  <r>
    <s v="P229"/>
    <x v="0"/>
    <s v="Observation"/>
    <s v="Dr. L. Khan"/>
    <s v="Male"/>
    <n v="19"/>
    <n v="170565"/>
    <n v="23"/>
    <n v="78"/>
    <s v="High Cost"/>
    <x v="7"/>
  </r>
  <r>
    <s v="P230"/>
    <x v="1"/>
    <s v="Medication"/>
    <s v="Dr. T. Mehta"/>
    <s v="Male"/>
    <n v="47"/>
    <n v="19586"/>
    <n v="5"/>
    <n v="54"/>
    <s v="Low Cost"/>
    <x v="3"/>
  </r>
  <r>
    <s v="P231"/>
    <x v="5"/>
    <s v="Therapy"/>
    <s v="Dr. A. Sharma"/>
    <s v="Male"/>
    <n v="59"/>
    <n v="108498"/>
    <n v="4"/>
    <n v="52"/>
    <s v="High Cost"/>
    <x v="3"/>
  </r>
  <r>
    <s v="P232"/>
    <x v="3"/>
    <s v="Therapy"/>
    <s v="Dr. L. Khan"/>
    <s v="Male"/>
    <n v="68"/>
    <n v="46886"/>
    <n v="20"/>
    <n v="54"/>
    <s v="Low Cost"/>
    <x v="1"/>
  </r>
  <r>
    <s v="P233"/>
    <x v="3"/>
    <s v="Observation"/>
    <s v="Dr. A. Sharma"/>
    <s v="Female"/>
    <n v="67"/>
    <n v="143991"/>
    <n v="3"/>
    <n v="58"/>
    <s v="High Cost"/>
    <x v="1"/>
  </r>
  <r>
    <s v="P234"/>
    <x v="4"/>
    <s v="Medication"/>
    <s v="Dr. R. Singh"/>
    <s v="Male"/>
    <n v="32"/>
    <n v="189712"/>
    <n v="20"/>
    <n v="80"/>
    <s v="High Cost"/>
    <x v="0"/>
  </r>
  <r>
    <s v="P235"/>
    <x v="0"/>
    <s v="Observation"/>
    <s v="Dr. T. Mehta"/>
    <s v="Male"/>
    <n v="30"/>
    <n v="134411"/>
    <n v="5"/>
    <n v="72"/>
    <s v="High Cost"/>
    <x v="0"/>
  </r>
  <r>
    <s v="P236"/>
    <x v="4"/>
    <s v="Observation"/>
    <s v="Dr. T. Mehta"/>
    <s v="Female"/>
    <n v="72"/>
    <n v="107074"/>
    <n v="29"/>
    <n v="84"/>
    <s v="High Cost"/>
    <x v="1"/>
  </r>
  <r>
    <s v="P237"/>
    <x v="5"/>
    <s v="Therapy"/>
    <s v="Dr. T. Mehta"/>
    <s v="Female"/>
    <n v="3"/>
    <n v="27322"/>
    <n v="11"/>
    <n v="91"/>
    <s v="Low Cost"/>
    <x v="2"/>
  </r>
  <r>
    <s v="P238"/>
    <x v="3"/>
    <s v="Surgery"/>
    <s v="Dr. R. Singh"/>
    <s v="Male"/>
    <n v="29"/>
    <n v="22303"/>
    <n v="3"/>
    <n v="51"/>
    <s v="Low Cost"/>
    <x v="4"/>
  </r>
  <r>
    <s v="P239"/>
    <x v="4"/>
    <s v="Surgery"/>
    <s v="Dr. A. Sharma"/>
    <s v="Female"/>
    <n v="32"/>
    <n v="97225"/>
    <n v="4"/>
    <n v="90"/>
    <s v="High Cost"/>
    <x v="0"/>
  </r>
  <r>
    <s v="P240"/>
    <x v="5"/>
    <s v="Surgery"/>
    <s v="Dr. M. Patel"/>
    <s v="Female"/>
    <n v="70"/>
    <n v="126226"/>
    <n v="27"/>
    <n v="89"/>
    <s v="High Cost"/>
    <x v="1"/>
  </r>
  <r>
    <s v="P241"/>
    <x v="2"/>
    <s v="Therapy"/>
    <s v="Dr. T. Mehta"/>
    <s v="Male"/>
    <n v="11"/>
    <n v="106669"/>
    <n v="19"/>
    <n v="68"/>
    <s v="High Cost"/>
    <x v="5"/>
  </r>
  <r>
    <s v="P242"/>
    <x v="0"/>
    <s v="Surgery"/>
    <s v="Dr. R. Singh"/>
    <s v="Male"/>
    <n v="46"/>
    <n v="168712"/>
    <n v="3"/>
    <n v="60"/>
    <s v="High Cost"/>
    <x v="3"/>
  </r>
  <r>
    <s v="P243"/>
    <x v="3"/>
    <s v="Medication"/>
    <s v="Dr. T. Mehta"/>
    <s v="Female"/>
    <n v="13"/>
    <n v="66113"/>
    <n v="6"/>
    <n v="94"/>
    <s v="High Cost"/>
    <x v="7"/>
  </r>
  <r>
    <s v="P244"/>
    <x v="3"/>
    <s v="Medication"/>
    <s v="Dr. A. Sharma"/>
    <s v="Female"/>
    <n v="74"/>
    <n v="86248"/>
    <n v="19"/>
    <n v="77"/>
    <s v="High Cost"/>
    <x v="1"/>
  </r>
  <r>
    <s v="P245"/>
    <x v="2"/>
    <s v="Medication"/>
    <s v="Dr. M. Patel"/>
    <s v="Male"/>
    <n v="27"/>
    <n v="97507"/>
    <n v="3"/>
    <n v="59"/>
    <s v="High Cost"/>
    <x v="4"/>
  </r>
  <r>
    <s v="P246"/>
    <x v="4"/>
    <s v="Observation"/>
    <s v="Dr. T. Mehta"/>
    <s v="Male"/>
    <n v="71"/>
    <n v="197116"/>
    <n v="7"/>
    <n v="89"/>
    <s v="High Cost"/>
    <x v="1"/>
  </r>
  <r>
    <s v="P247"/>
    <x v="3"/>
    <s v="Medication"/>
    <s v="Dr. M. Patel"/>
    <s v="Female"/>
    <n v="75"/>
    <n v="131614"/>
    <n v="22"/>
    <n v="87"/>
    <s v="High Cost"/>
    <x v="6"/>
  </r>
  <r>
    <s v="P248"/>
    <x v="4"/>
    <s v="Therapy"/>
    <s v="Dr. T. Mehta"/>
    <s v="Male"/>
    <n v="47"/>
    <n v="91199"/>
    <n v="18"/>
    <n v="86"/>
    <s v="High Cost"/>
    <x v="3"/>
  </r>
  <r>
    <s v="P249"/>
    <x v="3"/>
    <s v="Therapy"/>
    <s v="Dr. R. Singh"/>
    <s v="Male"/>
    <n v="21"/>
    <n v="94174"/>
    <n v="26"/>
    <n v="53"/>
    <s v="High Cost"/>
    <x v="4"/>
  </r>
  <r>
    <s v="P250"/>
    <x v="2"/>
    <s v="Medication"/>
    <s v="Dr. T. Mehta"/>
    <s v="Male"/>
    <n v="61"/>
    <n v="122112"/>
    <n v="16"/>
    <n v="81"/>
    <s v="High Cost"/>
    <x v="1"/>
  </r>
  <r>
    <s v="P251"/>
    <x v="2"/>
    <s v="Medication"/>
    <s v="Dr. M. Patel"/>
    <s v="Male"/>
    <n v="52"/>
    <n v="89154"/>
    <n v="14"/>
    <n v="77"/>
    <s v="High Cost"/>
    <x v="3"/>
  </r>
  <r>
    <s v="P252"/>
    <x v="2"/>
    <s v="Observation"/>
    <s v="Dr. R. Singh"/>
    <s v="Female"/>
    <n v="39"/>
    <n v="87295"/>
    <n v="12"/>
    <n v="64"/>
    <s v="High Cost"/>
    <x v="0"/>
  </r>
  <r>
    <s v="P253"/>
    <x v="5"/>
    <s v="Therapy"/>
    <s v="Dr. R. Singh"/>
    <s v="Male"/>
    <n v="79"/>
    <n v="123633"/>
    <n v="20"/>
    <n v="73"/>
    <s v="High Cost"/>
    <x v="6"/>
  </r>
  <r>
    <s v="P254"/>
    <x v="2"/>
    <s v="Therapy"/>
    <s v="Dr. M. Patel"/>
    <s v="Female"/>
    <n v="45"/>
    <n v="196720"/>
    <n v="22"/>
    <n v="68"/>
    <s v="High Cost"/>
    <x v="3"/>
  </r>
  <r>
    <s v="P255"/>
    <x v="2"/>
    <s v="Surgery"/>
    <s v="Dr. T. Mehta"/>
    <s v="Female"/>
    <n v="9"/>
    <n v="164337"/>
    <n v="4"/>
    <n v="90"/>
    <s v="High Cost"/>
    <x v="5"/>
  </r>
  <r>
    <s v="P256"/>
    <x v="0"/>
    <s v="Therapy"/>
    <s v="Dr. M. Patel"/>
    <s v="Male"/>
    <n v="37"/>
    <n v="44710"/>
    <n v="18"/>
    <n v="56"/>
    <s v="Low Cost"/>
    <x v="0"/>
  </r>
  <r>
    <s v="P257"/>
    <x v="4"/>
    <s v="Observation"/>
    <s v="Dr. M. Patel"/>
    <s v="Male"/>
    <n v="4"/>
    <n v="147847"/>
    <n v="28"/>
    <n v="64"/>
    <s v="High Cost"/>
    <x v="2"/>
  </r>
  <r>
    <s v="P258"/>
    <x v="1"/>
    <s v="Therapy"/>
    <s v="Dr. M. Patel"/>
    <s v="Female"/>
    <n v="45"/>
    <n v="130243"/>
    <n v="9"/>
    <n v="86"/>
    <s v="High Cost"/>
    <x v="3"/>
  </r>
  <r>
    <s v="P259"/>
    <x v="3"/>
    <s v="Surgery"/>
    <s v="Dr. A. Sharma"/>
    <s v="Male"/>
    <n v="21"/>
    <n v="131318"/>
    <n v="12"/>
    <n v="89"/>
    <s v="High Cost"/>
    <x v="4"/>
  </r>
  <r>
    <s v="P260"/>
    <x v="4"/>
    <s v="Medication"/>
    <s v="Dr. T. Mehta"/>
    <s v="Male"/>
    <n v="6"/>
    <n v="89925"/>
    <n v="17"/>
    <n v="62"/>
    <s v="High Cost"/>
    <x v="5"/>
  </r>
  <r>
    <s v="P261"/>
    <x v="1"/>
    <s v="Observation"/>
    <s v="Dr. M. Patel"/>
    <s v="Male"/>
    <n v="64"/>
    <n v="43323"/>
    <n v="12"/>
    <n v="66"/>
    <s v="Low Cost"/>
    <x v="1"/>
  </r>
  <r>
    <s v="P262"/>
    <x v="0"/>
    <s v="Medication"/>
    <s v="Dr. R. Singh"/>
    <s v="Female"/>
    <n v="26"/>
    <n v="152107"/>
    <n v="12"/>
    <n v="75"/>
    <s v="High Cost"/>
    <x v="4"/>
  </r>
  <r>
    <s v="P263"/>
    <x v="1"/>
    <s v="Therapy"/>
    <s v="Dr. R. Singh"/>
    <s v="Female"/>
    <n v="71"/>
    <n v="24196"/>
    <n v="27"/>
    <n v="75"/>
    <s v="Low Cost"/>
    <x v="1"/>
  </r>
  <r>
    <s v="P264"/>
    <x v="1"/>
    <s v="Observation"/>
    <s v="Dr. R. Singh"/>
    <s v="Male"/>
    <n v="82"/>
    <n v="79037"/>
    <n v="5"/>
    <n v="79"/>
    <s v="High Cost"/>
    <x v="6"/>
  </r>
  <r>
    <s v="P265"/>
    <x v="5"/>
    <s v="Observation"/>
    <s v="Dr. L. Khan"/>
    <s v="Female"/>
    <n v="3"/>
    <n v="22907"/>
    <n v="15"/>
    <n v="68"/>
    <s v="Low Cost"/>
    <x v="2"/>
  </r>
  <r>
    <s v="P266"/>
    <x v="3"/>
    <s v="Therapy"/>
    <s v="Dr. L. Khan"/>
    <s v="Male"/>
    <n v="41"/>
    <n v="26804"/>
    <n v="9"/>
    <n v="89"/>
    <s v="Low Cost"/>
    <x v="0"/>
  </r>
  <r>
    <s v="P267"/>
    <x v="4"/>
    <s v="Observation"/>
    <s v="Dr. M. Patel"/>
    <s v="Male"/>
    <n v="71"/>
    <n v="102097"/>
    <n v="24"/>
    <n v="75"/>
    <s v="High Cost"/>
    <x v="1"/>
  </r>
  <r>
    <s v="P268"/>
    <x v="0"/>
    <s v="Therapy"/>
    <s v="Dr. T. Mehta"/>
    <s v="Male"/>
    <n v="68"/>
    <n v="197905"/>
    <n v="6"/>
    <n v="86"/>
    <s v="High Cost"/>
    <x v="1"/>
  </r>
  <r>
    <s v="P269"/>
    <x v="3"/>
    <s v="Medication"/>
    <s v="Dr. L. Khan"/>
    <s v="Male"/>
    <n v="72"/>
    <n v="73172"/>
    <n v="28"/>
    <n v="75"/>
    <s v="High Cost"/>
    <x v="1"/>
  </r>
  <r>
    <s v="P270"/>
    <x v="3"/>
    <s v="Surgery"/>
    <s v="Dr. L. Khan"/>
    <s v="Female"/>
    <n v="56"/>
    <n v="102203"/>
    <n v="12"/>
    <n v="53"/>
    <s v="High Cost"/>
    <x v="3"/>
  </r>
  <r>
    <s v="P271"/>
    <x v="4"/>
    <s v="Medication"/>
    <s v="Dr. L. Khan"/>
    <s v="Female"/>
    <n v="64"/>
    <n v="171129"/>
    <n v="6"/>
    <n v="67"/>
    <s v="High Cost"/>
    <x v="1"/>
  </r>
  <r>
    <s v="P272"/>
    <x v="3"/>
    <s v="Observation"/>
    <s v="Dr. R. Singh"/>
    <s v="Male"/>
    <n v="48"/>
    <n v="79889"/>
    <n v="22"/>
    <n v="73"/>
    <s v="High Cost"/>
    <x v="3"/>
  </r>
  <r>
    <s v="P273"/>
    <x v="2"/>
    <s v="Surgery"/>
    <s v="Dr. M. Patel"/>
    <s v="Female"/>
    <n v="64"/>
    <n v="49311"/>
    <n v="30"/>
    <n v="86"/>
    <s v="Low Cost"/>
    <x v="1"/>
  </r>
  <r>
    <s v="P274"/>
    <x v="4"/>
    <s v="Therapy"/>
    <s v="Dr. A. Sharma"/>
    <s v="Other"/>
    <n v="78"/>
    <n v="52130"/>
    <n v="17"/>
    <n v="53"/>
    <s v="Low Cost"/>
    <x v="6"/>
  </r>
  <r>
    <s v="P275"/>
    <x v="4"/>
    <s v="Observation"/>
    <s v="Dr. A. Sharma"/>
    <s v="Male"/>
    <n v="58"/>
    <n v="189802"/>
    <n v="11"/>
    <n v="86"/>
    <s v="High Cost"/>
    <x v="3"/>
  </r>
  <r>
    <s v="P276"/>
    <x v="5"/>
    <s v="Observation"/>
    <s v="Dr. A. Sharma"/>
    <s v="Female"/>
    <n v="33"/>
    <n v="48208"/>
    <n v="22"/>
    <n v="85"/>
    <s v="Low Cost"/>
    <x v="0"/>
  </r>
  <r>
    <s v="P277"/>
    <x v="1"/>
    <s v="Surgery"/>
    <s v="Dr. T. Mehta"/>
    <s v="Male"/>
    <n v="79"/>
    <n v="61949"/>
    <n v="24"/>
    <n v="64"/>
    <s v="High Cost"/>
    <x v="6"/>
  </r>
  <r>
    <s v="P278"/>
    <x v="3"/>
    <s v="Therapy"/>
    <s v="Dr. R. Singh"/>
    <s v="Female"/>
    <n v="45"/>
    <n v="144042"/>
    <n v="10"/>
    <n v="55"/>
    <s v="High Cost"/>
    <x v="3"/>
  </r>
  <r>
    <s v="P279"/>
    <x v="3"/>
    <s v="Surgery"/>
    <s v="Dr. T. Mehta"/>
    <s v="Male"/>
    <n v="71"/>
    <n v="147012"/>
    <n v="25"/>
    <n v="62"/>
    <s v="High Cost"/>
    <x v="1"/>
  </r>
  <r>
    <s v="P280"/>
    <x v="1"/>
    <s v="Observation"/>
    <s v="Dr. T. Mehta"/>
    <s v="Female"/>
    <n v="48"/>
    <n v="151193"/>
    <n v="12"/>
    <n v="63"/>
    <s v="High Cost"/>
    <x v="3"/>
  </r>
  <r>
    <s v="P281"/>
    <x v="4"/>
    <s v="Observation"/>
    <s v="Dr. T. Mehta"/>
    <s v="Female"/>
    <n v="77"/>
    <n v="117921"/>
    <n v="11"/>
    <n v="84"/>
    <s v="High Cost"/>
    <x v="6"/>
  </r>
  <r>
    <s v="P282"/>
    <x v="4"/>
    <s v="Therapy"/>
    <s v="Dr. M. Patel"/>
    <s v="Male"/>
    <n v="61"/>
    <n v="147584"/>
    <n v="12"/>
    <n v="83"/>
    <s v="High Cost"/>
    <x v="1"/>
  </r>
  <r>
    <s v="P283"/>
    <x v="2"/>
    <s v="Medication"/>
    <s v="Dr. A. Sharma"/>
    <s v="Female"/>
    <n v="1"/>
    <n v="16596"/>
    <n v="20"/>
    <n v="76"/>
    <s v="Low Cost"/>
    <x v="2"/>
  </r>
  <r>
    <s v="P284"/>
    <x v="4"/>
    <s v="Therapy"/>
    <s v="Dr. A. Sharma"/>
    <s v="Male"/>
    <n v="48"/>
    <n v="80746"/>
    <n v="21"/>
    <n v="90"/>
    <s v="High Cost"/>
    <x v="3"/>
  </r>
  <r>
    <s v="P285"/>
    <x v="5"/>
    <s v="Observation"/>
    <s v="Dr. M. Patel"/>
    <s v="Male"/>
    <n v="70"/>
    <n v="95531"/>
    <n v="22"/>
    <n v="60"/>
    <s v="High Cost"/>
    <x v="1"/>
  </r>
  <r>
    <s v="P286"/>
    <x v="0"/>
    <s v="Therapy"/>
    <s v="Dr. T. Mehta"/>
    <s v="Male"/>
    <n v="41"/>
    <n v="173028"/>
    <n v="10"/>
    <n v="52"/>
    <s v="High Cost"/>
    <x v="0"/>
  </r>
  <r>
    <s v="P287"/>
    <x v="4"/>
    <s v="Surgery"/>
    <s v="Dr. R. Singh"/>
    <s v="Female"/>
    <n v="80"/>
    <n v="59942"/>
    <n v="11"/>
    <n v="60"/>
    <s v="High Cost"/>
    <x v="6"/>
  </r>
  <r>
    <s v="P288"/>
    <x v="1"/>
    <s v="Surgery"/>
    <s v="Dr. T. Mehta"/>
    <s v="Male"/>
    <n v="85"/>
    <n v="179863"/>
    <n v="24"/>
    <n v="86"/>
    <s v="High Cost"/>
    <x v="6"/>
  </r>
  <r>
    <s v="P289"/>
    <x v="5"/>
    <s v="Surgery"/>
    <s v="Dr. R. Singh"/>
    <s v="Male"/>
    <n v="33"/>
    <n v="74137"/>
    <n v="11"/>
    <n v="78"/>
    <s v="High Cost"/>
    <x v="0"/>
  </r>
  <r>
    <s v="P290"/>
    <x v="4"/>
    <s v="Surgery"/>
    <s v="Dr. R. Singh"/>
    <s v="Female"/>
    <n v="8"/>
    <n v="86710"/>
    <n v="6"/>
    <n v="83"/>
    <s v="High Cost"/>
    <x v="5"/>
  </r>
  <r>
    <s v="P291"/>
    <x v="1"/>
    <s v="Surgery"/>
    <s v="Dr. T. Mehta"/>
    <s v="Female"/>
    <n v="21"/>
    <n v="139631"/>
    <n v="24"/>
    <n v="66"/>
    <s v="High Cost"/>
    <x v="4"/>
  </r>
  <r>
    <s v="P292"/>
    <x v="2"/>
    <s v="Medication"/>
    <s v="Dr. T. Mehta"/>
    <s v="Female"/>
    <n v="33"/>
    <n v="181989"/>
    <n v="16"/>
    <n v="66"/>
    <s v="High Cost"/>
    <x v="0"/>
  </r>
  <r>
    <s v="P293"/>
    <x v="5"/>
    <s v="Observation"/>
    <s v="Dr. R. Singh"/>
    <s v="Female"/>
    <n v="5"/>
    <n v="196340"/>
    <n v="8"/>
    <n v="76"/>
    <s v="High Cost"/>
    <x v="2"/>
  </r>
  <r>
    <s v="P294"/>
    <x v="2"/>
    <s v="Observation"/>
    <s v="Dr. R. Singh"/>
    <s v="Female"/>
    <n v="53"/>
    <n v="166526"/>
    <n v="28"/>
    <n v="95"/>
    <s v="High Cost"/>
    <x v="3"/>
  </r>
  <r>
    <s v="P295"/>
    <x v="4"/>
    <s v="Surgery"/>
    <s v="Dr. L. Khan"/>
    <s v="Male"/>
    <n v="78"/>
    <n v="46193"/>
    <n v="6"/>
    <n v="93"/>
    <s v="Low Cost"/>
    <x v="6"/>
  </r>
  <r>
    <s v="P296"/>
    <x v="3"/>
    <s v="Surgery"/>
    <s v="Dr. M. Patel"/>
    <s v="Female"/>
    <n v="16"/>
    <n v="50419"/>
    <n v="7"/>
    <n v="89"/>
    <s v="Low Cost"/>
    <x v="7"/>
  </r>
  <r>
    <s v="P297"/>
    <x v="4"/>
    <s v="Surgery"/>
    <s v="Dr. R. Singh"/>
    <s v="Female"/>
    <n v="74"/>
    <n v="31182"/>
    <n v="18"/>
    <n v="83"/>
    <s v="Low Cost"/>
    <x v="1"/>
  </r>
  <r>
    <s v="P298"/>
    <x v="1"/>
    <s v="Observation"/>
    <s v="Dr. A. Sharma"/>
    <s v="Female"/>
    <n v="64"/>
    <n v="60013"/>
    <n v="7"/>
    <n v="74"/>
    <s v="High Cost"/>
    <x v="1"/>
  </r>
  <r>
    <s v="P299"/>
    <x v="4"/>
    <s v="Therapy"/>
    <s v="Dr. R. Singh"/>
    <s v="Male"/>
    <n v="59"/>
    <n v="160276"/>
    <n v="18"/>
    <n v="75"/>
    <s v="High Cost"/>
    <x v="3"/>
  </r>
  <r>
    <s v="P300"/>
    <x v="4"/>
    <s v="Therapy"/>
    <s v="Dr. L. Khan"/>
    <s v="Male"/>
    <n v="33"/>
    <n v="28980"/>
    <n v="16"/>
    <n v="75"/>
    <s v="Low Cost"/>
    <x v="0"/>
  </r>
  <r>
    <s v="P301"/>
    <x v="5"/>
    <s v="Observation"/>
    <s v="Dr. M. Patel"/>
    <s v="Female"/>
    <n v="32"/>
    <n v="77683"/>
    <n v="6"/>
    <n v="50"/>
    <s v="High Cost"/>
    <x v="0"/>
  </r>
  <r>
    <s v="P302"/>
    <x v="3"/>
    <s v="Therapy"/>
    <s v="Dr. R. Singh"/>
    <s v="Female"/>
    <n v="76"/>
    <n v="51359"/>
    <n v="30"/>
    <n v="52"/>
    <s v="Low Cost"/>
    <x v="6"/>
  </r>
  <r>
    <s v="P303"/>
    <x v="0"/>
    <s v="Medication"/>
    <s v="Dr. L. Khan"/>
    <s v="Male"/>
    <n v="23"/>
    <n v="78579"/>
    <n v="20"/>
    <n v="67"/>
    <s v="High Cost"/>
    <x v="4"/>
  </r>
  <r>
    <s v="P304"/>
    <x v="0"/>
    <s v="Observation"/>
    <s v="Dr. A. Sharma"/>
    <s v="Female"/>
    <n v="81"/>
    <n v="90520"/>
    <n v="15"/>
    <n v="92"/>
    <s v="High Cost"/>
    <x v="6"/>
  </r>
  <r>
    <s v="P305"/>
    <x v="4"/>
    <s v="Therapy"/>
    <s v="Dr. T. Mehta"/>
    <s v="Female"/>
    <n v="24"/>
    <n v="131871"/>
    <n v="6"/>
    <n v="92"/>
    <s v="High Cost"/>
    <x v="4"/>
  </r>
  <r>
    <s v="P306"/>
    <x v="4"/>
    <s v="Observation"/>
    <s v="Dr. A. Sharma"/>
    <s v="Male"/>
    <n v="64"/>
    <n v="85240"/>
    <n v="5"/>
    <n v="75"/>
    <s v="High Cost"/>
    <x v="1"/>
  </r>
  <r>
    <s v="P307"/>
    <x v="0"/>
    <s v="Observation"/>
    <s v="Dr. R. Singh"/>
    <s v="Male"/>
    <n v="23"/>
    <n v="31257"/>
    <n v="6"/>
    <n v="65"/>
    <s v="Low Cost"/>
    <x v="4"/>
  </r>
  <r>
    <s v="P308"/>
    <x v="1"/>
    <s v="Therapy"/>
    <s v="Dr. A. Sharma"/>
    <s v="Female"/>
    <n v="9"/>
    <n v="35764"/>
    <n v="8"/>
    <n v="94"/>
    <s v="Low Cost"/>
    <x v="5"/>
  </r>
  <r>
    <s v="P309"/>
    <x v="5"/>
    <s v="Therapy"/>
    <s v="Dr. R. Singh"/>
    <s v="Male"/>
    <n v="19"/>
    <n v="80727"/>
    <n v="10"/>
    <n v="92"/>
    <s v="High Cost"/>
    <x v="7"/>
  </r>
  <r>
    <s v="P310"/>
    <x v="4"/>
    <s v="Therapy"/>
    <s v="Dr. M. Patel"/>
    <s v="Male"/>
    <n v="40"/>
    <n v="195050"/>
    <n v="12"/>
    <n v="89"/>
    <s v="High Cost"/>
    <x v="0"/>
  </r>
  <r>
    <s v="P311"/>
    <x v="1"/>
    <s v="Therapy"/>
    <s v="Dr. L. Khan"/>
    <s v="Female"/>
    <n v="85"/>
    <n v="112607"/>
    <n v="25"/>
    <n v="85"/>
    <s v="High Cost"/>
    <x v="6"/>
  </r>
  <r>
    <s v="P312"/>
    <x v="2"/>
    <s v="Observation"/>
    <s v="Dr. R. Singh"/>
    <s v="Male"/>
    <n v="3"/>
    <n v="47718"/>
    <n v="19"/>
    <n v="53"/>
    <s v="Low Cost"/>
    <x v="2"/>
  </r>
  <r>
    <s v="P313"/>
    <x v="3"/>
    <s v="Medication"/>
    <s v="Dr. T. Mehta"/>
    <s v="Male"/>
    <n v="49"/>
    <n v="106056"/>
    <n v="19"/>
    <n v="57"/>
    <s v="High Cost"/>
    <x v="3"/>
  </r>
  <r>
    <s v="P314"/>
    <x v="3"/>
    <s v="Observation"/>
    <s v="Dr. A. Sharma"/>
    <s v="Male"/>
    <n v="69"/>
    <n v="40213"/>
    <n v="24"/>
    <n v="72"/>
    <s v="Low Cost"/>
    <x v="1"/>
  </r>
  <r>
    <s v="P315"/>
    <x v="4"/>
    <s v="Therapy"/>
    <s v="Dr. M. Patel"/>
    <s v="Female"/>
    <n v="70"/>
    <n v="146411"/>
    <n v="27"/>
    <n v="82"/>
    <s v="High Cost"/>
    <x v="1"/>
  </r>
  <r>
    <s v="P316"/>
    <x v="3"/>
    <s v="Therapy"/>
    <s v="Dr. A. Sharma"/>
    <s v="Female"/>
    <n v="20"/>
    <n v="26271"/>
    <n v="18"/>
    <n v="72"/>
    <s v="Low Cost"/>
    <x v="4"/>
  </r>
  <r>
    <s v="P317"/>
    <x v="3"/>
    <s v="Surgery"/>
    <s v="Dr. T. Mehta"/>
    <s v="Male"/>
    <n v="3"/>
    <n v="162199"/>
    <n v="15"/>
    <n v="66"/>
    <s v="High Cost"/>
    <x v="2"/>
  </r>
  <r>
    <s v="P318"/>
    <x v="3"/>
    <s v="Surgery"/>
    <s v="Dr. L. Khan"/>
    <s v="Male"/>
    <n v="62"/>
    <n v="48531"/>
    <n v="15"/>
    <n v="83"/>
    <s v="Low Cost"/>
    <x v="1"/>
  </r>
  <r>
    <s v="P319"/>
    <x v="5"/>
    <s v="Surgery"/>
    <s v="Dr. T. Mehta"/>
    <s v="Other"/>
    <n v="12"/>
    <n v="128536"/>
    <n v="10"/>
    <n v="93"/>
    <s v="High Cost"/>
    <x v="5"/>
  </r>
  <r>
    <s v="P320"/>
    <x v="4"/>
    <s v="Therapy"/>
    <s v="Dr. R. Singh"/>
    <s v="Female"/>
    <n v="58"/>
    <n v="177455"/>
    <n v="25"/>
    <n v="62"/>
    <s v="High Cost"/>
    <x v="3"/>
  </r>
  <r>
    <s v="P321"/>
    <x v="2"/>
    <s v="Surgery"/>
    <s v="Dr. L. Khan"/>
    <s v="Female"/>
    <n v="31"/>
    <n v="157570"/>
    <n v="7"/>
    <n v="60"/>
    <s v="High Cost"/>
    <x v="0"/>
  </r>
  <r>
    <s v="P322"/>
    <x v="3"/>
    <s v="Observation"/>
    <s v="Dr. A. Sharma"/>
    <s v="Male"/>
    <n v="53"/>
    <n v="86882"/>
    <n v="7"/>
    <n v="73"/>
    <s v="High Cost"/>
    <x v="3"/>
  </r>
  <r>
    <s v="P323"/>
    <x v="0"/>
    <s v="Surgery"/>
    <s v="Dr. T. Mehta"/>
    <s v="Female"/>
    <n v="2"/>
    <n v="191016"/>
    <n v="17"/>
    <n v="55"/>
    <s v="High Cost"/>
    <x v="2"/>
  </r>
  <r>
    <s v="P324"/>
    <x v="4"/>
    <s v="Therapy"/>
    <s v="Dr. A. Sharma"/>
    <s v="Female"/>
    <n v="17"/>
    <n v="46050"/>
    <n v="11"/>
    <n v="86"/>
    <s v="Low Cost"/>
    <x v="7"/>
  </r>
  <r>
    <s v="P325"/>
    <x v="5"/>
    <s v="Observation"/>
    <s v="Dr. R. Singh"/>
    <s v="Female"/>
    <n v="2"/>
    <n v="99522"/>
    <n v="21"/>
    <n v="68"/>
    <s v="High Cost"/>
    <x v="2"/>
  </r>
  <r>
    <s v="P326"/>
    <x v="3"/>
    <s v="Medication"/>
    <s v="Dr. R. Singh"/>
    <s v="Male"/>
    <n v="44"/>
    <n v="24046"/>
    <n v="11"/>
    <n v="68"/>
    <s v="Low Cost"/>
    <x v="0"/>
  </r>
  <r>
    <s v="P327"/>
    <x v="0"/>
    <s v="Surgery"/>
    <s v="Dr. L. Khan"/>
    <s v="Male"/>
    <n v="24"/>
    <n v="64542"/>
    <n v="7"/>
    <n v="85"/>
    <s v="High Cost"/>
    <x v="4"/>
  </r>
  <r>
    <s v="P328"/>
    <x v="1"/>
    <s v="Medication"/>
    <s v="Dr. R. Singh"/>
    <s v="Other"/>
    <n v="36"/>
    <n v="135054"/>
    <n v="20"/>
    <n v="52"/>
    <s v="High Cost"/>
    <x v="0"/>
  </r>
  <r>
    <s v="P329"/>
    <x v="1"/>
    <s v="Therapy"/>
    <s v="Dr. M. Patel"/>
    <s v="Female"/>
    <n v="55"/>
    <n v="15590"/>
    <n v="27"/>
    <n v="82"/>
    <s v="Low Cost"/>
    <x v="3"/>
  </r>
  <r>
    <s v="P330"/>
    <x v="0"/>
    <s v="Surgery"/>
    <s v="Dr. A. Sharma"/>
    <s v="Female"/>
    <n v="43"/>
    <n v="188425"/>
    <n v="26"/>
    <n v="88"/>
    <s v="High Cost"/>
    <x v="0"/>
  </r>
  <r>
    <s v="P331"/>
    <x v="2"/>
    <s v="Observation"/>
    <s v="Dr. T. Mehta"/>
    <s v="Female"/>
    <n v="77"/>
    <n v="104037"/>
    <n v="11"/>
    <n v="67"/>
    <s v="High Cost"/>
    <x v="6"/>
  </r>
  <r>
    <s v="P332"/>
    <x v="2"/>
    <s v="Therapy"/>
    <s v="Dr. M. Patel"/>
    <s v="Male"/>
    <n v="85"/>
    <n v="167322"/>
    <n v="19"/>
    <n v="81"/>
    <s v="High Cost"/>
    <x v="6"/>
  </r>
  <r>
    <s v="P333"/>
    <x v="2"/>
    <s v="Therapy"/>
    <s v="Dr. A. Sharma"/>
    <s v="Female"/>
    <n v="11"/>
    <n v="112393"/>
    <n v="6"/>
    <n v="61"/>
    <s v="High Cost"/>
    <x v="5"/>
  </r>
  <r>
    <s v="P334"/>
    <x v="1"/>
    <s v="Medication"/>
    <s v="Dr. M. Patel"/>
    <s v="Male"/>
    <n v="67"/>
    <n v="184096"/>
    <n v="21"/>
    <n v="69"/>
    <s v="High Cost"/>
    <x v="1"/>
  </r>
  <r>
    <s v="P335"/>
    <x v="0"/>
    <s v="Therapy"/>
    <s v="Dr. L. Khan"/>
    <s v="Male"/>
    <n v="62"/>
    <n v="190730"/>
    <n v="21"/>
    <n v="86"/>
    <s v="High Cost"/>
    <x v="1"/>
  </r>
  <r>
    <s v="P336"/>
    <x v="5"/>
    <s v="Therapy"/>
    <s v="Dr. A. Sharma"/>
    <s v="Male"/>
    <n v="56"/>
    <n v="25263"/>
    <n v="26"/>
    <n v="65"/>
    <s v="Low Cost"/>
    <x v="3"/>
  </r>
  <r>
    <s v="P337"/>
    <x v="0"/>
    <s v="Medication"/>
    <s v="Dr. R. Singh"/>
    <s v="Male"/>
    <n v="19"/>
    <n v="187719"/>
    <n v="9"/>
    <n v="84"/>
    <s v="High Cost"/>
    <x v="7"/>
  </r>
  <r>
    <s v="P338"/>
    <x v="4"/>
    <s v="Medication"/>
    <s v="Dr. T. Mehta"/>
    <s v="Female"/>
    <n v="56"/>
    <n v="181256"/>
    <n v="30"/>
    <n v="83"/>
    <s v="High Cost"/>
    <x v="3"/>
  </r>
  <r>
    <s v="P339"/>
    <x v="3"/>
    <s v="Therapy"/>
    <s v="Dr. A. Sharma"/>
    <s v="Female"/>
    <n v="47"/>
    <n v="57246"/>
    <n v="10"/>
    <n v="70"/>
    <s v="High Cost"/>
    <x v="3"/>
  </r>
  <r>
    <s v="P340"/>
    <x v="4"/>
    <s v="Medication"/>
    <s v="Dr. T. Mehta"/>
    <s v="Female"/>
    <n v="82"/>
    <n v="52888"/>
    <n v="17"/>
    <n v="65"/>
    <s v="Low Cost"/>
    <x v="6"/>
  </r>
  <r>
    <s v="P341"/>
    <x v="0"/>
    <s v="Therapy"/>
    <s v="Dr. A. Sharma"/>
    <s v="Female"/>
    <n v="23"/>
    <n v="193694"/>
    <n v="20"/>
    <n v="75"/>
    <s v="High Cost"/>
    <x v="4"/>
  </r>
  <r>
    <s v="P342"/>
    <x v="0"/>
    <s v="Observation"/>
    <s v="Dr. A. Sharma"/>
    <s v="Male"/>
    <n v="1"/>
    <n v="21928"/>
    <n v="6"/>
    <n v="91"/>
    <s v="Low Cost"/>
    <x v="2"/>
  </r>
  <r>
    <s v="P343"/>
    <x v="3"/>
    <s v="Surgery"/>
    <s v="Dr. M. Patel"/>
    <s v="Female"/>
    <n v="85"/>
    <n v="119629"/>
    <n v="9"/>
    <n v="78"/>
    <s v="High Cost"/>
    <x v="6"/>
  </r>
  <r>
    <s v="P344"/>
    <x v="5"/>
    <s v="Surgery"/>
    <s v="Dr. R. Singh"/>
    <s v="Male"/>
    <n v="15"/>
    <n v="81778"/>
    <n v="8"/>
    <n v="66"/>
    <s v="High Cost"/>
    <x v="7"/>
  </r>
  <r>
    <s v="P345"/>
    <x v="4"/>
    <s v="Medication"/>
    <s v="Dr. M. Patel"/>
    <s v="Other"/>
    <n v="61"/>
    <n v="26556"/>
    <n v="12"/>
    <n v="54"/>
    <s v="Low Cost"/>
    <x v="1"/>
  </r>
  <r>
    <s v="P346"/>
    <x v="5"/>
    <s v="Observation"/>
    <s v="Dr. A. Sharma"/>
    <s v="Female"/>
    <n v="48"/>
    <n v="157592"/>
    <n v="20"/>
    <n v="74"/>
    <s v="High Cost"/>
    <x v="3"/>
  </r>
  <r>
    <s v="P347"/>
    <x v="4"/>
    <s v="Surgery"/>
    <s v="Dr. A. Sharma"/>
    <s v="Male"/>
    <n v="24"/>
    <n v="181531"/>
    <n v="6"/>
    <n v="67"/>
    <s v="High Cost"/>
    <x v="4"/>
  </r>
  <r>
    <s v="P348"/>
    <x v="3"/>
    <s v="Medication"/>
    <s v="Dr. A. Sharma"/>
    <s v="Male"/>
    <n v="37"/>
    <n v="58766"/>
    <n v="13"/>
    <n v="69"/>
    <s v="High Cost"/>
    <x v="0"/>
  </r>
  <r>
    <s v="P349"/>
    <x v="2"/>
    <s v="Therapy"/>
    <s v="Dr. R. Singh"/>
    <s v="Male"/>
    <n v="26"/>
    <n v="19771"/>
    <n v="28"/>
    <n v="61"/>
    <s v="Low Cost"/>
    <x v="4"/>
  </r>
  <r>
    <s v="P350"/>
    <x v="0"/>
    <s v="Therapy"/>
    <s v="Dr. A. Sharma"/>
    <s v="Male"/>
    <n v="22"/>
    <n v="47326"/>
    <n v="19"/>
    <n v="86"/>
    <s v="Low Cost"/>
    <x v="4"/>
  </r>
  <r>
    <s v="P351"/>
    <x v="0"/>
    <s v="Medication"/>
    <s v="Dr. R. Singh"/>
    <s v="Male"/>
    <n v="43"/>
    <n v="152821"/>
    <n v="9"/>
    <n v="65"/>
    <s v="High Cost"/>
    <x v="0"/>
  </r>
  <r>
    <s v="P352"/>
    <x v="1"/>
    <s v="Medication"/>
    <s v="Dr. L. Khan"/>
    <s v="Male"/>
    <n v="10"/>
    <n v="149923"/>
    <n v="17"/>
    <n v="58"/>
    <s v="High Cost"/>
    <x v="5"/>
  </r>
  <r>
    <s v="P353"/>
    <x v="3"/>
    <s v="Therapy"/>
    <s v="Dr. T. Mehta"/>
    <s v="Male"/>
    <n v="59"/>
    <n v="134074"/>
    <n v="18"/>
    <n v="91"/>
    <s v="High Cost"/>
    <x v="3"/>
  </r>
  <r>
    <s v="P354"/>
    <x v="0"/>
    <s v="Surgery"/>
    <s v="Dr. M. Patel"/>
    <s v="Female"/>
    <n v="35"/>
    <n v="159259"/>
    <n v="8"/>
    <n v="69"/>
    <s v="High Cost"/>
    <x v="0"/>
  </r>
  <r>
    <s v="P355"/>
    <x v="4"/>
    <s v="Therapy"/>
    <s v="Dr. L. Khan"/>
    <s v="Female"/>
    <n v="14"/>
    <n v="181933"/>
    <n v="9"/>
    <n v="74"/>
    <s v="High Cost"/>
    <x v="7"/>
  </r>
  <r>
    <s v="P356"/>
    <x v="1"/>
    <s v="Surgery"/>
    <s v="Dr. T. Mehta"/>
    <s v="Male"/>
    <n v="46"/>
    <n v="156183"/>
    <n v="14"/>
    <n v="54"/>
    <s v="High Cost"/>
    <x v="3"/>
  </r>
  <r>
    <s v="P357"/>
    <x v="5"/>
    <s v="Observation"/>
    <s v="Dr. L. Khan"/>
    <s v="Male"/>
    <n v="29"/>
    <n v="23318"/>
    <n v="23"/>
    <n v="94"/>
    <s v="Low Cost"/>
    <x v="4"/>
  </r>
  <r>
    <s v="P358"/>
    <x v="5"/>
    <s v="Therapy"/>
    <s v="Dr. M. Patel"/>
    <s v="Male"/>
    <n v="65"/>
    <n v="153155"/>
    <n v="26"/>
    <n v="74"/>
    <s v="High Cost"/>
    <x v="1"/>
  </r>
  <r>
    <s v="P359"/>
    <x v="0"/>
    <s v="Observation"/>
    <s v="Dr. A. Sharma"/>
    <s v="Female"/>
    <n v="58"/>
    <n v="106069"/>
    <n v="25"/>
    <n v="54"/>
    <s v="High Cost"/>
    <x v="3"/>
  </r>
  <r>
    <s v="P360"/>
    <x v="5"/>
    <s v="Therapy"/>
    <s v="Dr. R. Singh"/>
    <s v="Female"/>
    <n v="14"/>
    <n v="181631"/>
    <n v="9"/>
    <n v="90"/>
    <s v="High Cost"/>
    <x v="7"/>
  </r>
  <r>
    <s v="P361"/>
    <x v="3"/>
    <s v="Surgery"/>
    <s v="Dr. R. Singh"/>
    <s v="Female"/>
    <n v="16"/>
    <n v="61847"/>
    <n v="24"/>
    <n v="60"/>
    <s v="High Cost"/>
    <x v="7"/>
  </r>
  <r>
    <s v="P362"/>
    <x v="5"/>
    <s v="Medication"/>
    <s v="Dr. T. Mehta"/>
    <s v="Female"/>
    <n v="50"/>
    <n v="87560"/>
    <n v="17"/>
    <n v="69"/>
    <s v="High Cost"/>
    <x v="3"/>
  </r>
  <r>
    <s v="P363"/>
    <x v="5"/>
    <s v="Medication"/>
    <s v="Dr. A. Sharma"/>
    <s v="Female"/>
    <n v="5"/>
    <n v="144599"/>
    <n v="5"/>
    <n v="94"/>
    <s v="High Cost"/>
    <x v="2"/>
  </r>
  <r>
    <s v="P364"/>
    <x v="4"/>
    <s v="Medication"/>
    <s v="Dr. A. Sharma"/>
    <s v="Male"/>
    <n v="54"/>
    <n v="79495"/>
    <n v="6"/>
    <n v="80"/>
    <s v="High Cost"/>
    <x v="3"/>
  </r>
  <r>
    <s v="P365"/>
    <x v="2"/>
    <s v="Surgery"/>
    <s v="Dr. M. Patel"/>
    <s v="Female"/>
    <n v="80"/>
    <n v="169243"/>
    <n v="9"/>
    <n v="78"/>
    <s v="High Cost"/>
    <x v="6"/>
  </r>
  <r>
    <s v="P366"/>
    <x v="3"/>
    <s v="Surgery"/>
    <s v="Dr. M. Patel"/>
    <s v="Male"/>
    <n v="64"/>
    <n v="149582"/>
    <n v="22"/>
    <n v="70"/>
    <s v="High Cost"/>
    <x v="1"/>
  </r>
  <r>
    <s v="P367"/>
    <x v="0"/>
    <s v="Observation"/>
    <s v="Dr. R. Singh"/>
    <s v="Male"/>
    <n v="60"/>
    <n v="191088"/>
    <n v="17"/>
    <n v="85"/>
    <s v="High Cost"/>
    <x v="1"/>
  </r>
  <r>
    <s v="P368"/>
    <x v="0"/>
    <s v="Therapy"/>
    <s v="Dr. T. Mehta"/>
    <s v="Male"/>
    <n v="85"/>
    <n v="41379"/>
    <n v="3"/>
    <n v="93"/>
    <s v="Low Cost"/>
    <x v="6"/>
  </r>
  <r>
    <s v="P369"/>
    <x v="2"/>
    <s v="Medication"/>
    <s v="Dr. T. Mehta"/>
    <s v="Female"/>
    <n v="48"/>
    <n v="23602"/>
    <n v="21"/>
    <n v="89"/>
    <s v="Low Cost"/>
    <x v="3"/>
  </r>
  <r>
    <s v="P370"/>
    <x v="1"/>
    <s v="Medication"/>
    <s v="Dr. M. Patel"/>
    <s v="Female"/>
    <n v="57"/>
    <n v="67873"/>
    <n v="26"/>
    <n v="60"/>
    <s v="High Cost"/>
    <x v="3"/>
  </r>
  <r>
    <s v="P371"/>
    <x v="2"/>
    <s v="Surgery"/>
    <s v="Dr. A. Sharma"/>
    <s v="Female"/>
    <n v="49"/>
    <n v="76814"/>
    <n v="30"/>
    <n v="68"/>
    <s v="High Cost"/>
    <x v="3"/>
  </r>
  <r>
    <s v="P372"/>
    <x v="0"/>
    <s v="Observation"/>
    <s v="Dr. M. Patel"/>
    <s v="Female"/>
    <n v="30"/>
    <n v="131142"/>
    <n v="6"/>
    <n v="58"/>
    <s v="High Cost"/>
    <x v="0"/>
  </r>
  <r>
    <s v="P373"/>
    <x v="4"/>
    <s v="Surgery"/>
    <s v="Dr. L. Khan"/>
    <s v="Male"/>
    <n v="67"/>
    <n v="33841"/>
    <n v="18"/>
    <n v="93"/>
    <s v="Low Cost"/>
    <x v="1"/>
  </r>
  <r>
    <s v="P374"/>
    <x v="5"/>
    <s v="Observation"/>
    <s v="Dr. R. Singh"/>
    <s v="Female"/>
    <n v="50"/>
    <n v="67378"/>
    <n v="24"/>
    <n v="83"/>
    <s v="High Cost"/>
    <x v="3"/>
  </r>
  <r>
    <s v="P375"/>
    <x v="4"/>
    <s v="Observation"/>
    <s v="Dr. T. Mehta"/>
    <s v="Male"/>
    <n v="49"/>
    <n v="94732"/>
    <n v="25"/>
    <n v="86"/>
    <s v="High Cost"/>
    <x v="3"/>
  </r>
  <r>
    <s v="P376"/>
    <x v="4"/>
    <s v="Therapy"/>
    <s v="Dr. M. Patel"/>
    <s v="Female"/>
    <n v="77"/>
    <n v="76004"/>
    <n v="5"/>
    <n v="79"/>
    <s v="High Cost"/>
    <x v="6"/>
  </r>
  <r>
    <s v="P377"/>
    <x v="3"/>
    <s v="Therapy"/>
    <s v="Dr. A. Sharma"/>
    <s v="Female"/>
    <n v="45"/>
    <n v="32654"/>
    <n v="21"/>
    <n v="61"/>
    <s v="Low Cost"/>
    <x v="3"/>
  </r>
  <r>
    <s v="P378"/>
    <x v="4"/>
    <s v="Therapy"/>
    <s v="Dr. L. Khan"/>
    <s v="Female"/>
    <n v="58"/>
    <n v="175689"/>
    <n v="8"/>
    <n v="51"/>
    <s v="High Cost"/>
    <x v="3"/>
  </r>
  <r>
    <s v="P379"/>
    <x v="0"/>
    <s v="Medication"/>
    <s v="Dr. A. Sharma"/>
    <s v="Female"/>
    <n v="29"/>
    <n v="81297"/>
    <n v="19"/>
    <n v="67"/>
    <s v="High Cost"/>
    <x v="4"/>
  </r>
  <r>
    <s v="P380"/>
    <x v="2"/>
    <s v="Observation"/>
    <s v="Dr. M. Patel"/>
    <s v="Male"/>
    <n v="66"/>
    <n v="139488"/>
    <n v="29"/>
    <n v="79"/>
    <s v="High Cost"/>
    <x v="1"/>
  </r>
  <r>
    <s v="P381"/>
    <x v="1"/>
    <s v="Medication"/>
    <s v="Dr. T. Mehta"/>
    <s v="Female"/>
    <n v="63"/>
    <n v="156933"/>
    <n v="9"/>
    <n v="64"/>
    <s v="High Cost"/>
    <x v="1"/>
  </r>
  <r>
    <s v="P382"/>
    <x v="4"/>
    <s v="Observation"/>
    <s v="Dr. M. Patel"/>
    <s v="Female"/>
    <n v="32"/>
    <n v="90006"/>
    <n v="21"/>
    <n v="79"/>
    <s v="High Cost"/>
    <x v="0"/>
  </r>
  <r>
    <s v="P383"/>
    <x v="1"/>
    <s v="Medication"/>
    <s v="Dr. T. Mehta"/>
    <s v="Male"/>
    <n v="79"/>
    <n v="156222"/>
    <n v="10"/>
    <n v="58"/>
    <s v="High Cost"/>
    <x v="6"/>
  </r>
  <r>
    <s v="P384"/>
    <x v="2"/>
    <s v="Surgery"/>
    <s v="Dr. T. Mehta"/>
    <s v="Female"/>
    <n v="43"/>
    <n v="100958"/>
    <n v="4"/>
    <n v="88"/>
    <s v="High Cost"/>
    <x v="0"/>
  </r>
  <r>
    <s v="P385"/>
    <x v="2"/>
    <s v="Therapy"/>
    <s v="Dr. A. Sharma"/>
    <s v="Female"/>
    <n v="83"/>
    <n v="120134"/>
    <n v="21"/>
    <n v="93"/>
    <s v="High Cost"/>
    <x v="6"/>
  </r>
  <r>
    <s v="P386"/>
    <x v="2"/>
    <s v="Medication"/>
    <s v="Dr. A. Sharma"/>
    <s v="Male"/>
    <n v="76"/>
    <n v="140622"/>
    <n v="11"/>
    <n v="79"/>
    <s v="High Cost"/>
    <x v="6"/>
  </r>
  <r>
    <s v="P387"/>
    <x v="4"/>
    <s v="Medication"/>
    <s v="Dr. M. Patel"/>
    <s v="Male"/>
    <n v="54"/>
    <n v="97246"/>
    <n v="8"/>
    <n v="55"/>
    <s v="High Cost"/>
    <x v="3"/>
  </r>
  <r>
    <s v="P388"/>
    <x v="5"/>
    <s v="Medication"/>
    <s v="Dr. A. Sharma"/>
    <s v="Female"/>
    <n v="57"/>
    <n v="27151"/>
    <n v="16"/>
    <n v="52"/>
    <s v="Low Cost"/>
    <x v="3"/>
  </r>
  <r>
    <s v="P389"/>
    <x v="0"/>
    <s v="Therapy"/>
    <s v="Dr. T. Mehta"/>
    <s v="Female"/>
    <n v="26"/>
    <n v="67948"/>
    <n v="13"/>
    <n v="50"/>
    <s v="High Cost"/>
    <x v="4"/>
  </r>
  <r>
    <s v="P390"/>
    <x v="4"/>
    <s v="Surgery"/>
    <s v="Dr. T. Mehta"/>
    <s v="Female"/>
    <n v="60"/>
    <n v="188150"/>
    <n v="18"/>
    <n v="87"/>
    <s v="High Cost"/>
    <x v="1"/>
  </r>
  <r>
    <s v="P391"/>
    <x v="0"/>
    <s v="Observation"/>
    <s v="Dr. M. Patel"/>
    <s v="Female"/>
    <n v="20"/>
    <n v="47930"/>
    <n v="22"/>
    <n v="58"/>
    <s v="Low Cost"/>
    <x v="4"/>
  </r>
  <r>
    <s v="P392"/>
    <x v="5"/>
    <s v="Therapy"/>
    <s v="Dr. A. Sharma"/>
    <s v="Male"/>
    <n v="50"/>
    <n v="128001"/>
    <n v="29"/>
    <n v="80"/>
    <s v="High Cost"/>
    <x v="3"/>
  </r>
  <r>
    <s v="P393"/>
    <x v="5"/>
    <s v="Medication"/>
    <s v="Dr. L. Khan"/>
    <s v="Female"/>
    <n v="60"/>
    <n v="136739"/>
    <n v="5"/>
    <n v="81"/>
    <s v="High Cost"/>
    <x v="1"/>
  </r>
  <r>
    <s v="P394"/>
    <x v="5"/>
    <s v="Observation"/>
    <s v="Dr. R. Singh"/>
    <s v="Male"/>
    <n v="20"/>
    <n v="148473"/>
    <n v="9"/>
    <n v="94"/>
    <s v="High Cost"/>
    <x v="4"/>
  </r>
  <r>
    <s v="P395"/>
    <x v="1"/>
    <s v="Therapy"/>
    <s v="Dr. M. Patel"/>
    <s v="Female"/>
    <n v="48"/>
    <n v="102470"/>
    <n v="9"/>
    <n v="86"/>
    <s v="High Cost"/>
    <x v="3"/>
  </r>
  <r>
    <s v="P396"/>
    <x v="0"/>
    <s v="Surgery"/>
    <s v="Dr. R. Singh"/>
    <s v="Female"/>
    <n v="81"/>
    <n v="83830"/>
    <n v="28"/>
    <n v="60"/>
    <s v="High Cost"/>
    <x v="6"/>
  </r>
  <r>
    <s v="P397"/>
    <x v="0"/>
    <s v="Surgery"/>
    <s v="Dr. R. Singh"/>
    <s v="Male"/>
    <n v="31"/>
    <n v="83260"/>
    <n v="19"/>
    <n v="63"/>
    <s v="High Cost"/>
    <x v="0"/>
  </r>
  <r>
    <s v="P398"/>
    <x v="5"/>
    <s v="Surgery"/>
    <s v="Dr. M. Patel"/>
    <s v="Male"/>
    <n v="70"/>
    <n v="196005"/>
    <n v="4"/>
    <n v="77"/>
    <s v="High Cost"/>
    <x v="1"/>
  </r>
  <r>
    <s v="P399"/>
    <x v="0"/>
    <s v="Observation"/>
    <s v="Dr. L. Khan"/>
    <s v="Female"/>
    <n v="9"/>
    <n v="61841"/>
    <n v="3"/>
    <n v="85"/>
    <s v="High Cost"/>
    <x v="5"/>
  </r>
  <r>
    <s v="P400"/>
    <x v="4"/>
    <s v="Observation"/>
    <s v="Dr. A. Sharma"/>
    <s v="Male"/>
    <n v="36"/>
    <n v="97651"/>
    <n v="22"/>
    <n v="84"/>
    <s v="High Cost"/>
    <x v="0"/>
  </r>
  <r>
    <s v="P401"/>
    <x v="2"/>
    <s v="Observation"/>
    <s v="Dr. L. Khan"/>
    <s v="Male"/>
    <n v="84"/>
    <n v="144520"/>
    <n v="3"/>
    <n v="95"/>
    <s v="High Cost"/>
    <x v="6"/>
  </r>
  <r>
    <s v="P402"/>
    <x v="5"/>
    <s v="Surgery"/>
    <s v="Dr. L. Khan"/>
    <s v="Female"/>
    <n v="39"/>
    <n v="97644"/>
    <n v="17"/>
    <n v="56"/>
    <s v="High Cost"/>
    <x v="0"/>
  </r>
  <r>
    <s v="P403"/>
    <x v="2"/>
    <s v="Surgery"/>
    <s v="Dr. L. Khan"/>
    <s v="Male"/>
    <n v="33"/>
    <n v="19450"/>
    <n v="6"/>
    <n v="95"/>
    <s v="Low Cost"/>
    <x v="0"/>
  </r>
  <r>
    <s v="P404"/>
    <x v="4"/>
    <s v="Therapy"/>
    <s v="Dr. M. Patel"/>
    <s v="Male"/>
    <n v="79"/>
    <n v="120074"/>
    <n v="9"/>
    <n v="54"/>
    <s v="High Cost"/>
    <x v="6"/>
  </r>
  <r>
    <s v="P405"/>
    <x v="2"/>
    <s v="Surgery"/>
    <s v="Dr. R. Singh"/>
    <s v="Female"/>
    <n v="12"/>
    <n v="149639"/>
    <n v="8"/>
    <n v="88"/>
    <s v="High Cost"/>
    <x v="5"/>
  </r>
  <r>
    <s v="P406"/>
    <x v="2"/>
    <s v="Observation"/>
    <s v="Dr. M. Patel"/>
    <s v="Female"/>
    <n v="2"/>
    <n v="59583"/>
    <n v="30"/>
    <n v="88"/>
    <s v="High Cost"/>
    <x v="2"/>
  </r>
  <r>
    <s v="P407"/>
    <x v="4"/>
    <s v="Surgery"/>
    <s v="Dr. A. Sharma"/>
    <s v="Male"/>
    <n v="43"/>
    <n v="146936"/>
    <n v="9"/>
    <n v="77"/>
    <s v="High Cost"/>
    <x v="0"/>
  </r>
  <r>
    <s v="P408"/>
    <x v="1"/>
    <s v="Medication"/>
    <s v="Dr. R. Singh"/>
    <s v="Female"/>
    <n v="42"/>
    <n v="135598"/>
    <n v="15"/>
    <n v="57"/>
    <s v="High Cost"/>
    <x v="0"/>
  </r>
  <r>
    <s v="P409"/>
    <x v="2"/>
    <s v="Therapy"/>
    <s v="Dr. M. Patel"/>
    <s v="Female"/>
    <n v="21"/>
    <n v="199301"/>
    <n v="28"/>
    <n v="82"/>
    <s v="High Cost"/>
    <x v="4"/>
  </r>
  <r>
    <s v="P410"/>
    <x v="1"/>
    <s v="Observation"/>
    <s v="Dr. R. Singh"/>
    <s v="Male"/>
    <n v="65"/>
    <n v="118731"/>
    <n v="19"/>
    <n v="61"/>
    <s v="High Cost"/>
    <x v="1"/>
  </r>
  <r>
    <s v="P411"/>
    <x v="1"/>
    <s v="Therapy"/>
    <s v="Dr. A. Sharma"/>
    <s v="Female"/>
    <n v="75"/>
    <n v="86217"/>
    <n v="24"/>
    <n v="72"/>
    <s v="High Cost"/>
    <x v="6"/>
  </r>
  <r>
    <s v="P412"/>
    <x v="2"/>
    <s v="Medication"/>
    <s v="Dr. M. Patel"/>
    <s v="Male"/>
    <n v="61"/>
    <n v="128287"/>
    <n v="10"/>
    <n v="78"/>
    <s v="High Cost"/>
    <x v="1"/>
  </r>
  <r>
    <s v="P413"/>
    <x v="4"/>
    <s v="Therapy"/>
    <s v="Dr. L. Khan"/>
    <s v="Female"/>
    <n v="66"/>
    <n v="33292"/>
    <n v="24"/>
    <n v="60"/>
    <s v="Low Cost"/>
    <x v="1"/>
  </r>
  <r>
    <s v="P414"/>
    <x v="0"/>
    <s v="Observation"/>
    <s v="Dr. L. Khan"/>
    <s v="Male"/>
    <n v="31"/>
    <n v="147520"/>
    <n v="18"/>
    <n v="64"/>
    <s v="High Cost"/>
    <x v="0"/>
  </r>
  <r>
    <s v="P415"/>
    <x v="3"/>
    <s v="Observation"/>
    <s v="Dr. L. Khan"/>
    <s v="Female"/>
    <n v="17"/>
    <n v="133252"/>
    <n v="8"/>
    <n v="82"/>
    <s v="High Cost"/>
    <x v="7"/>
  </r>
  <r>
    <s v="P416"/>
    <x v="4"/>
    <s v="Medication"/>
    <s v="Dr. M. Patel"/>
    <s v="Male"/>
    <n v="32"/>
    <n v="80181"/>
    <n v="12"/>
    <n v="60"/>
    <s v="High Cost"/>
    <x v="0"/>
  </r>
  <r>
    <s v="P417"/>
    <x v="1"/>
    <s v="Therapy"/>
    <s v="Dr. R. Singh"/>
    <s v="Male"/>
    <n v="78"/>
    <n v="131595"/>
    <n v="6"/>
    <n v="85"/>
    <s v="High Cost"/>
    <x v="6"/>
  </r>
  <r>
    <s v="P418"/>
    <x v="2"/>
    <s v="Therapy"/>
    <s v="Dr. M. Patel"/>
    <s v="Female"/>
    <n v="78"/>
    <n v="33183"/>
    <n v="10"/>
    <n v="72"/>
    <s v="Low Cost"/>
    <x v="6"/>
  </r>
  <r>
    <s v="P419"/>
    <x v="2"/>
    <s v="Surgery"/>
    <s v="Dr. R. Singh"/>
    <s v="Male"/>
    <n v="85"/>
    <n v="132055"/>
    <n v="21"/>
    <n v="50"/>
    <s v="High Cost"/>
    <x v="6"/>
  </r>
  <r>
    <s v="P420"/>
    <x v="0"/>
    <s v="Surgery"/>
    <s v="Dr. A. Sharma"/>
    <s v="Male"/>
    <n v="29"/>
    <n v="24692"/>
    <n v="25"/>
    <n v="64"/>
    <s v="Low Cost"/>
    <x v="4"/>
  </r>
  <r>
    <s v="P421"/>
    <x v="2"/>
    <s v="Surgery"/>
    <s v="Dr. A. Sharma"/>
    <s v="Female"/>
    <n v="42"/>
    <n v="193775"/>
    <n v="10"/>
    <n v="95"/>
    <s v="High Cost"/>
    <x v="0"/>
  </r>
  <r>
    <s v="P422"/>
    <x v="3"/>
    <s v="Medication"/>
    <s v="Dr. L. Khan"/>
    <s v="Female"/>
    <n v="17"/>
    <n v="161448"/>
    <n v="19"/>
    <n v="80"/>
    <s v="High Cost"/>
    <x v="7"/>
  </r>
  <r>
    <s v="P423"/>
    <x v="4"/>
    <s v="Surgery"/>
    <s v="Dr. L. Khan"/>
    <s v="Female"/>
    <n v="18"/>
    <n v="118508"/>
    <n v="14"/>
    <n v="92"/>
    <s v="High Cost"/>
    <x v="7"/>
  </r>
  <r>
    <s v="P424"/>
    <x v="3"/>
    <s v="Medication"/>
    <s v="Dr. R. Singh"/>
    <s v="Male"/>
    <n v="66"/>
    <n v="75097"/>
    <n v="17"/>
    <n v="53"/>
    <s v="High Cost"/>
    <x v="1"/>
  </r>
  <r>
    <s v="P425"/>
    <x v="5"/>
    <s v="Observation"/>
    <s v="Dr. R. Singh"/>
    <s v="Male"/>
    <n v="40"/>
    <n v="69677"/>
    <n v="4"/>
    <n v="58"/>
    <s v="High Cost"/>
    <x v="0"/>
  </r>
  <r>
    <s v="P426"/>
    <x v="0"/>
    <s v="Medication"/>
    <s v="Dr. T. Mehta"/>
    <s v="Female"/>
    <n v="55"/>
    <n v="33295"/>
    <n v="17"/>
    <n v="69"/>
    <s v="Low Cost"/>
    <x v="3"/>
  </r>
  <r>
    <s v="P427"/>
    <x v="2"/>
    <s v="Therapy"/>
    <s v="Dr. A. Sharma"/>
    <s v="Female"/>
    <n v="67"/>
    <n v="67264"/>
    <n v="26"/>
    <n v="62"/>
    <s v="High Cost"/>
    <x v="1"/>
  </r>
  <r>
    <s v="P428"/>
    <x v="4"/>
    <s v="Surgery"/>
    <s v="Dr. M. Patel"/>
    <s v="Male"/>
    <n v="8"/>
    <n v="122076"/>
    <n v="30"/>
    <n v="65"/>
    <s v="High Cost"/>
    <x v="5"/>
  </r>
  <r>
    <s v="P429"/>
    <x v="4"/>
    <s v="Medication"/>
    <s v="Dr. T. Mehta"/>
    <s v="Female"/>
    <n v="68"/>
    <n v="129818"/>
    <n v="11"/>
    <n v="70"/>
    <s v="High Cost"/>
    <x v="1"/>
  </r>
  <r>
    <s v="P430"/>
    <x v="1"/>
    <s v="Therapy"/>
    <s v="Dr. M. Patel"/>
    <s v="Female"/>
    <n v="45"/>
    <n v="183926"/>
    <n v="15"/>
    <n v="53"/>
    <s v="High Cost"/>
    <x v="3"/>
  </r>
  <r>
    <s v="P431"/>
    <x v="5"/>
    <s v="Therapy"/>
    <s v="Dr. L. Khan"/>
    <s v="Female"/>
    <n v="31"/>
    <n v="27557"/>
    <n v="15"/>
    <n v="89"/>
    <s v="Low Cost"/>
    <x v="0"/>
  </r>
  <r>
    <s v="P432"/>
    <x v="2"/>
    <s v="Surgery"/>
    <s v="Dr. R. Singh"/>
    <s v="Male"/>
    <n v="56"/>
    <n v="164723"/>
    <n v="25"/>
    <n v="70"/>
    <s v="High Cost"/>
    <x v="3"/>
  </r>
  <r>
    <s v="P433"/>
    <x v="4"/>
    <s v="Observation"/>
    <s v="Dr. R. Singh"/>
    <s v="Female"/>
    <n v="8"/>
    <n v="148321"/>
    <n v="14"/>
    <n v="69"/>
    <s v="High Cost"/>
    <x v="5"/>
  </r>
  <r>
    <s v="P434"/>
    <x v="1"/>
    <s v="Observation"/>
    <s v="Dr. T. Mehta"/>
    <s v="Female"/>
    <n v="6"/>
    <n v="23641"/>
    <n v="29"/>
    <n v="74"/>
    <s v="Low Cost"/>
    <x v="5"/>
  </r>
  <r>
    <s v="P435"/>
    <x v="5"/>
    <s v="Observation"/>
    <s v="Dr. A. Sharma"/>
    <s v="Female"/>
    <n v="35"/>
    <n v="22930"/>
    <n v="20"/>
    <n v="74"/>
    <s v="Low Cost"/>
    <x v="0"/>
  </r>
  <r>
    <s v="P436"/>
    <x v="2"/>
    <s v="Therapy"/>
    <s v="Dr. L. Khan"/>
    <s v="Male"/>
    <n v="70"/>
    <n v="57077"/>
    <n v="5"/>
    <n v="51"/>
    <s v="High Cost"/>
    <x v="1"/>
  </r>
  <r>
    <s v="P437"/>
    <x v="5"/>
    <s v="Surgery"/>
    <s v="Dr. A. Sharma"/>
    <s v="Male"/>
    <n v="2"/>
    <n v="121083"/>
    <n v="18"/>
    <n v="79"/>
    <s v="High Cost"/>
    <x v="2"/>
  </r>
  <r>
    <s v="P438"/>
    <x v="2"/>
    <s v="Observation"/>
    <s v="Dr. M. Patel"/>
    <s v="Other"/>
    <n v="57"/>
    <n v="190174"/>
    <n v="18"/>
    <n v="64"/>
    <s v="High Cost"/>
    <x v="3"/>
  </r>
  <r>
    <s v="P439"/>
    <x v="0"/>
    <s v="Surgery"/>
    <s v="Dr. A. Sharma"/>
    <s v="Female"/>
    <n v="41"/>
    <n v="198865"/>
    <n v="11"/>
    <n v="86"/>
    <s v="High Cost"/>
    <x v="0"/>
  </r>
  <r>
    <s v="P440"/>
    <x v="3"/>
    <s v="Therapy"/>
    <s v="Dr. M. Patel"/>
    <s v="Female"/>
    <n v="9"/>
    <n v="125639"/>
    <n v="19"/>
    <n v="53"/>
    <s v="High Cost"/>
    <x v="5"/>
  </r>
  <r>
    <s v="P441"/>
    <x v="3"/>
    <s v="Surgery"/>
    <s v="Dr. R. Singh"/>
    <s v="Male"/>
    <n v="40"/>
    <n v="86768"/>
    <n v="15"/>
    <n v="79"/>
    <s v="High Cost"/>
    <x v="0"/>
  </r>
  <r>
    <s v="P442"/>
    <x v="3"/>
    <s v="Surgery"/>
    <s v="Dr. A. Sharma"/>
    <s v="Male"/>
    <n v="78"/>
    <n v="108547"/>
    <n v="8"/>
    <n v="80"/>
    <s v="High Cost"/>
    <x v="6"/>
  </r>
  <r>
    <s v="P443"/>
    <x v="5"/>
    <s v="Medication"/>
    <s v="Dr. A. Sharma"/>
    <s v="Female"/>
    <n v="1"/>
    <n v="68623"/>
    <n v="25"/>
    <n v="50"/>
    <s v="High Cost"/>
    <x v="2"/>
  </r>
  <r>
    <s v="P444"/>
    <x v="2"/>
    <s v="Surgery"/>
    <s v="Dr. R. Singh"/>
    <s v="Male"/>
    <n v="48"/>
    <n v="86251"/>
    <n v="22"/>
    <n v="58"/>
    <s v="High Cost"/>
    <x v="3"/>
  </r>
  <r>
    <s v="P445"/>
    <x v="0"/>
    <s v="Therapy"/>
    <s v="Dr. A. Sharma"/>
    <s v="Male"/>
    <n v="66"/>
    <n v="57254"/>
    <n v="22"/>
    <n v="93"/>
    <s v="High Cost"/>
    <x v="1"/>
  </r>
  <r>
    <s v="P446"/>
    <x v="3"/>
    <s v="Observation"/>
    <s v="Dr. M. Patel"/>
    <s v="Male"/>
    <n v="71"/>
    <n v="196528"/>
    <n v="14"/>
    <n v="60"/>
    <s v="High Cost"/>
    <x v="1"/>
  </r>
  <r>
    <s v="P447"/>
    <x v="0"/>
    <s v="Medication"/>
    <s v="Dr. R. Singh"/>
    <s v="Male"/>
    <n v="25"/>
    <n v="36619"/>
    <n v="27"/>
    <n v="60"/>
    <s v="Low Cost"/>
    <x v="4"/>
  </r>
  <r>
    <s v="P448"/>
    <x v="2"/>
    <s v="Therapy"/>
    <s v="Dr. T. Mehta"/>
    <s v="Male"/>
    <n v="78"/>
    <n v="108284"/>
    <n v="25"/>
    <n v="67"/>
    <s v="High Cost"/>
    <x v="6"/>
  </r>
  <r>
    <s v="P449"/>
    <x v="4"/>
    <s v="Therapy"/>
    <s v="Dr. T. Mehta"/>
    <s v="Female"/>
    <n v="47"/>
    <n v="189668"/>
    <n v="10"/>
    <n v="76"/>
    <s v="High Cost"/>
    <x v="3"/>
  </r>
  <r>
    <s v="P450"/>
    <x v="4"/>
    <s v="Medication"/>
    <s v="Dr. T. Mehta"/>
    <s v="Female"/>
    <n v="55"/>
    <n v="55346"/>
    <n v="15"/>
    <n v="74"/>
    <s v="High Cost"/>
    <x v="3"/>
  </r>
  <r>
    <s v="P451"/>
    <x v="4"/>
    <s v="Therapy"/>
    <s v="Dr. L. Khan"/>
    <s v="Female"/>
    <n v="4"/>
    <n v="75776"/>
    <n v="21"/>
    <n v="65"/>
    <s v="High Cost"/>
    <x v="2"/>
  </r>
  <r>
    <s v="P452"/>
    <x v="2"/>
    <s v="Observation"/>
    <s v="Dr. T. Mehta"/>
    <s v="Male"/>
    <n v="13"/>
    <n v="128289"/>
    <n v="19"/>
    <n v="77"/>
    <s v="High Cost"/>
    <x v="7"/>
  </r>
  <r>
    <s v="P453"/>
    <x v="3"/>
    <s v="Observation"/>
    <s v="Dr. R. Singh"/>
    <s v="Female"/>
    <n v="6"/>
    <n v="120836"/>
    <n v="5"/>
    <n v="53"/>
    <s v="High Cost"/>
    <x v="5"/>
  </r>
  <r>
    <s v="P454"/>
    <x v="1"/>
    <s v="Medication"/>
    <s v="Dr. M. Patel"/>
    <s v="Female"/>
    <n v="18"/>
    <n v="52805"/>
    <n v="29"/>
    <n v="87"/>
    <s v="Low Cost"/>
    <x v="7"/>
  </r>
  <r>
    <s v="P455"/>
    <x v="2"/>
    <s v="Observation"/>
    <s v="Dr. R. Singh"/>
    <s v="Male"/>
    <n v="81"/>
    <n v="154643"/>
    <n v="19"/>
    <n v="58"/>
    <s v="High Cost"/>
    <x v="6"/>
  </r>
  <r>
    <s v="P456"/>
    <x v="4"/>
    <s v="Observation"/>
    <s v="Dr. M. Patel"/>
    <s v="Female"/>
    <n v="19"/>
    <n v="25186"/>
    <n v="26"/>
    <n v="75"/>
    <s v="Low Cost"/>
    <x v="7"/>
  </r>
  <r>
    <s v="P457"/>
    <x v="2"/>
    <s v="Medication"/>
    <s v="Dr. T. Mehta"/>
    <s v="Female"/>
    <n v="30"/>
    <n v="72734"/>
    <n v="14"/>
    <n v="68"/>
    <s v="High Cost"/>
    <x v="0"/>
  </r>
  <r>
    <s v="P458"/>
    <x v="4"/>
    <s v="Surgery"/>
    <s v="Dr. A. Sharma"/>
    <s v="Male"/>
    <n v="58"/>
    <n v="163009"/>
    <n v="4"/>
    <n v="71"/>
    <s v="High Cost"/>
    <x v="3"/>
  </r>
  <r>
    <s v="P459"/>
    <x v="4"/>
    <s v="Medication"/>
    <s v="Dr. L. Khan"/>
    <s v="Male"/>
    <n v="20"/>
    <n v="130536"/>
    <n v="25"/>
    <n v="63"/>
    <s v="High Cost"/>
    <x v="4"/>
  </r>
  <r>
    <s v="P460"/>
    <x v="5"/>
    <s v="Therapy"/>
    <s v="Dr. T. Mehta"/>
    <s v="Female"/>
    <n v="74"/>
    <n v="91629"/>
    <n v="14"/>
    <n v="55"/>
    <s v="High Cost"/>
    <x v="1"/>
  </r>
  <r>
    <s v="P461"/>
    <x v="4"/>
    <s v="Therapy"/>
    <s v="Dr. T. Mehta"/>
    <s v="Male"/>
    <n v="77"/>
    <n v="65160"/>
    <n v="19"/>
    <n v="57"/>
    <s v="High Cost"/>
    <x v="6"/>
  </r>
  <r>
    <s v="P462"/>
    <x v="3"/>
    <s v="Medication"/>
    <s v="Dr. M. Patel"/>
    <s v="Male"/>
    <n v="37"/>
    <n v="116645"/>
    <n v="5"/>
    <n v="61"/>
    <s v="High Cost"/>
    <x v="0"/>
  </r>
  <r>
    <s v="P463"/>
    <x v="3"/>
    <s v="Observation"/>
    <s v="Dr. L. Khan"/>
    <s v="Female"/>
    <n v="8"/>
    <n v="62388"/>
    <n v="25"/>
    <n v="57"/>
    <s v="High Cost"/>
    <x v="5"/>
  </r>
  <r>
    <s v="P464"/>
    <x v="5"/>
    <s v="Therapy"/>
    <s v="Dr. T. Mehta"/>
    <s v="Female"/>
    <n v="53"/>
    <n v="53276"/>
    <n v="24"/>
    <n v="63"/>
    <s v="Low Cost"/>
    <x v="3"/>
  </r>
  <r>
    <s v="P465"/>
    <x v="1"/>
    <s v="Medication"/>
    <s v="Dr. T. Mehta"/>
    <s v="Male"/>
    <n v="77"/>
    <n v="64065"/>
    <n v="17"/>
    <n v="67"/>
    <s v="High Cost"/>
    <x v="6"/>
  </r>
  <r>
    <s v="P466"/>
    <x v="0"/>
    <s v="Medication"/>
    <s v="Dr. R. Singh"/>
    <s v="Female"/>
    <n v="51"/>
    <n v="141789"/>
    <n v="27"/>
    <n v="85"/>
    <s v="High Cost"/>
    <x v="3"/>
  </r>
  <r>
    <s v="P467"/>
    <x v="5"/>
    <s v="Observation"/>
    <s v="Dr. L. Khan"/>
    <s v="Female"/>
    <n v="16"/>
    <n v="97614"/>
    <n v="19"/>
    <n v="71"/>
    <s v="High Cost"/>
    <x v="7"/>
  </r>
  <r>
    <s v="P468"/>
    <x v="2"/>
    <s v="Medication"/>
    <s v="Dr. A. Sharma"/>
    <s v="Male"/>
    <n v="38"/>
    <n v="124599"/>
    <n v="21"/>
    <n v="69"/>
    <s v="High Cost"/>
    <x v="0"/>
  </r>
  <r>
    <s v="P469"/>
    <x v="3"/>
    <s v="Observation"/>
    <s v="Dr. T. Mehta"/>
    <s v="Female"/>
    <n v="83"/>
    <n v="197057"/>
    <n v="8"/>
    <n v="51"/>
    <s v="High Cost"/>
    <x v="6"/>
  </r>
  <r>
    <s v="P470"/>
    <x v="0"/>
    <s v="Observation"/>
    <s v="Dr. A. Sharma"/>
    <s v="Male"/>
    <n v="78"/>
    <n v="77239"/>
    <n v="26"/>
    <n v="72"/>
    <s v="High Cost"/>
    <x v="6"/>
  </r>
  <r>
    <s v="P471"/>
    <x v="0"/>
    <s v="Observation"/>
    <s v="Dr. A. Sharma"/>
    <s v="Male"/>
    <n v="2"/>
    <n v="143564"/>
    <n v="21"/>
    <n v="93"/>
    <s v="High Cost"/>
    <x v="2"/>
  </r>
  <r>
    <s v="P472"/>
    <x v="1"/>
    <s v="Surgery"/>
    <s v="Dr. L. Khan"/>
    <s v="Male"/>
    <n v="10"/>
    <n v="133744"/>
    <n v="18"/>
    <n v="89"/>
    <s v="High Cost"/>
    <x v="5"/>
  </r>
  <r>
    <s v="P473"/>
    <x v="0"/>
    <s v="Observation"/>
    <s v="Dr. A. Sharma"/>
    <s v="Female"/>
    <n v="18"/>
    <n v="148500"/>
    <n v="24"/>
    <n v="90"/>
    <s v="High Cost"/>
    <x v="7"/>
  </r>
  <r>
    <s v="P474"/>
    <x v="3"/>
    <s v="Therapy"/>
    <s v="Dr. R. Singh"/>
    <s v="Female"/>
    <n v="30"/>
    <n v="63879"/>
    <n v="19"/>
    <n v="50"/>
    <s v="High Cost"/>
    <x v="0"/>
  </r>
  <r>
    <s v="P475"/>
    <x v="0"/>
    <s v="Observation"/>
    <s v="Dr. M. Patel"/>
    <s v="Female"/>
    <n v="4"/>
    <n v="159992"/>
    <n v="24"/>
    <n v="59"/>
    <s v="High Cost"/>
    <x v="2"/>
  </r>
  <r>
    <s v="P476"/>
    <x v="1"/>
    <s v="Surgery"/>
    <s v="Dr. T. Mehta"/>
    <s v="Male"/>
    <n v="84"/>
    <n v="79986"/>
    <n v="22"/>
    <n v="52"/>
    <s v="High Cost"/>
    <x v="6"/>
  </r>
  <r>
    <s v="P477"/>
    <x v="1"/>
    <s v="Observation"/>
    <s v="Dr. T. Mehta"/>
    <s v="Male"/>
    <n v="62"/>
    <n v="113607"/>
    <n v="23"/>
    <n v="65"/>
    <s v="High Cost"/>
    <x v="1"/>
  </r>
  <r>
    <s v="P478"/>
    <x v="0"/>
    <s v="Medication"/>
    <s v="Dr. A. Sharma"/>
    <s v="Male"/>
    <n v="76"/>
    <n v="96135"/>
    <n v="17"/>
    <n v="61"/>
    <s v="High Cost"/>
    <x v="6"/>
  </r>
  <r>
    <s v="P479"/>
    <x v="3"/>
    <s v="Observation"/>
    <s v="Dr. M. Patel"/>
    <s v="Female"/>
    <n v="20"/>
    <n v="126992"/>
    <n v="28"/>
    <n v="63"/>
    <s v="High Cost"/>
    <x v="4"/>
  </r>
  <r>
    <s v="P480"/>
    <x v="1"/>
    <s v="Therapy"/>
    <s v="Dr. A. Sharma"/>
    <s v="Female"/>
    <n v="22"/>
    <n v="53692"/>
    <n v="10"/>
    <n v="85"/>
    <s v="Low Cost"/>
    <x v="4"/>
  </r>
  <r>
    <s v="P481"/>
    <x v="1"/>
    <s v="Therapy"/>
    <s v="Dr. M. Patel"/>
    <s v="Male"/>
    <n v="29"/>
    <n v="119105"/>
    <n v="25"/>
    <n v="66"/>
    <s v="High Cost"/>
    <x v="4"/>
  </r>
  <r>
    <s v="P482"/>
    <x v="1"/>
    <s v="Surgery"/>
    <s v="Dr. R. Singh"/>
    <s v="Male"/>
    <n v="20"/>
    <n v="105506"/>
    <n v="7"/>
    <n v="76"/>
    <s v="High Cost"/>
    <x v="4"/>
  </r>
  <r>
    <s v="P483"/>
    <x v="4"/>
    <s v="Therapy"/>
    <s v="Dr. M. Patel"/>
    <s v="Female"/>
    <n v="64"/>
    <n v="92371"/>
    <n v="16"/>
    <n v="59"/>
    <s v="High Cost"/>
    <x v="1"/>
  </r>
  <r>
    <s v="P484"/>
    <x v="1"/>
    <s v="Medication"/>
    <s v="Dr. A. Sharma"/>
    <s v="Male"/>
    <n v="39"/>
    <n v="187247"/>
    <n v="7"/>
    <n v="86"/>
    <s v="High Cost"/>
    <x v="0"/>
  </r>
  <r>
    <s v="P485"/>
    <x v="3"/>
    <s v="Surgery"/>
    <s v="Dr. T. Mehta"/>
    <s v="Female"/>
    <n v="39"/>
    <n v="28079"/>
    <n v="24"/>
    <n v="86"/>
    <s v="Low Cost"/>
    <x v="0"/>
  </r>
  <r>
    <s v="P486"/>
    <x v="2"/>
    <s v="Observation"/>
    <s v="Dr. L. Khan"/>
    <s v="Male"/>
    <n v="1"/>
    <n v="177157"/>
    <n v="4"/>
    <n v="91"/>
    <s v="High Cost"/>
    <x v="2"/>
  </r>
  <r>
    <s v="P487"/>
    <x v="3"/>
    <s v="Medication"/>
    <s v="Dr. R. Singh"/>
    <s v="Female"/>
    <n v="35"/>
    <n v="121408"/>
    <n v="16"/>
    <n v="95"/>
    <s v="High Cost"/>
    <x v="0"/>
  </r>
  <r>
    <s v="P488"/>
    <x v="5"/>
    <s v="Surgery"/>
    <s v="Dr. R. Singh"/>
    <s v="Female"/>
    <n v="27"/>
    <n v="144857"/>
    <n v="18"/>
    <n v="91"/>
    <s v="High Cost"/>
    <x v="4"/>
  </r>
  <r>
    <s v="P489"/>
    <x v="5"/>
    <s v="Medication"/>
    <s v="Dr. A. Sharma"/>
    <s v="Female"/>
    <n v="42"/>
    <n v="53740"/>
    <n v="15"/>
    <n v="58"/>
    <s v="Low Cost"/>
    <x v="0"/>
  </r>
  <r>
    <s v="P490"/>
    <x v="4"/>
    <s v="Medication"/>
    <s v="Dr. R. Singh"/>
    <s v="Male"/>
    <n v="49"/>
    <n v="119942"/>
    <n v="23"/>
    <n v="81"/>
    <s v="High Cost"/>
    <x v="3"/>
  </r>
  <r>
    <s v="P491"/>
    <x v="3"/>
    <s v="Surgery"/>
    <s v="Dr. T. Mehta"/>
    <s v="Female"/>
    <n v="19"/>
    <n v="34696"/>
    <n v="22"/>
    <n v="95"/>
    <s v="Low Cost"/>
    <x v="7"/>
  </r>
  <r>
    <s v="P492"/>
    <x v="5"/>
    <s v="Surgery"/>
    <s v="Dr. L. Khan"/>
    <s v="Female"/>
    <n v="42"/>
    <n v="93235"/>
    <n v="3"/>
    <n v="83"/>
    <s v="High Cost"/>
    <x v="0"/>
  </r>
  <r>
    <s v="P493"/>
    <x v="5"/>
    <s v="Observation"/>
    <s v="Dr. T. Mehta"/>
    <s v="Male"/>
    <n v="46"/>
    <n v="41735"/>
    <n v="3"/>
    <n v="77"/>
    <s v="Low Cost"/>
    <x v="3"/>
  </r>
  <r>
    <s v="P494"/>
    <x v="5"/>
    <s v="Observation"/>
    <s v="Dr. M. Patel"/>
    <s v="Male"/>
    <n v="5"/>
    <n v="125705"/>
    <n v="13"/>
    <n v="75"/>
    <s v="High Cost"/>
    <x v="2"/>
  </r>
  <r>
    <s v="P495"/>
    <x v="4"/>
    <s v="Therapy"/>
    <s v="Dr. R. Singh"/>
    <s v="Male"/>
    <n v="76"/>
    <n v="110848"/>
    <n v="12"/>
    <n v="77"/>
    <s v="High Cost"/>
    <x v="6"/>
  </r>
  <r>
    <s v="P496"/>
    <x v="1"/>
    <s v="Medication"/>
    <s v="Dr. M. Patel"/>
    <s v="Female"/>
    <n v="38"/>
    <n v="173615"/>
    <n v="29"/>
    <n v="82"/>
    <s v="High Cost"/>
    <x v="0"/>
  </r>
  <r>
    <s v="P497"/>
    <x v="2"/>
    <s v="Surgery"/>
    <s v="Dr. M. Patel"/>
    <s v="Male"/>
    <n v="62"/>
    <n v="145024"/>
    <n v="19"/>
    <n v="56"/>
    <s v="High Cost"/>
    <x v="1"/>
  </r>
  <r>
    <s v="P498"/>
    <x v="4"/>
    <s v="Therapy"/>
    <s v="Dr. L. Khan"/>
    <s v="Female"/>
    <n v="19"/>
    <n v="41531"/>
    <n v="13"/>
    <n v="76"/>
    <s v="Low Cost"/>
    <x v="7"/>
  </r>
  <r>
    <s v="P499"/>
    <x v="4"/>
    <s v="Medication"/>
    <s v="Dr. R. Singh"/>
    <s v="Male"/>
    <n v="35"/>
    <n v="43125"/>
    <n v="12"/>
    <n v="94"/>
    <s v="Low Cost"/>
    <x v="0"/>
  </r>
  <r>
    <s v="P500"/>
    <x v="1"/>
    <s v="Surgery"/>
    <s v="Dr. A. Sharma"/>
    <s v="Female"/>
    <n v="39"/>
    <n v="50824"/>
    <n v="18"/>
    <n v="50"/>
    <s v="Low Cost"/>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001"/>
    <x v="0"/>
    <x v="0"/>
    <x v="0"/>
    <x v="0"/>
    <n v="37"/>
    <n v="167119"/>
    <n v="8"/>
    <n v="92"/>
  </r>
  <r>
    <s v="P002"/>
    <x v="1"/>
    <x v="0"/>
    <x v="1"/>
    <x v="1"/>
    <n v="71"/>
    <n v="21668"/>
    <n v="20"/>
    <n v="85"/>
  </r>
  <r>
    <s v="P003"/>
    <x v="1"/>
    <x v="1"/>
    <x v="2"/>
    <x v="0"/>
    <n v="3"/>
    <n v="28596"/>
    <n v="4"/>
    <n v="82"/>
  </r>
  <r>
    <s v="P004"/>
    <x v="2"/>
    <x v="0"/>
    <x v="1"/>
    <x v="1"/>
    <n v="42"/>
    <n v="133591"/>
    <n v="12"/>
    <n v="73"/>
  </r>
  <r>
    <s v="P005"/>
    <x v="3"/>
    <x v="1"/>
    <x v="3"/>
    <x v="1"/>
    <n v="73"/>
    <n v="163495"/>
    <n v="24"/>
    <n v="53"/>
  </r>
  <r>
    <s v="P006"/>
    <x v="4"/>
    <x v="2"/>
    <x v="3"/>
    <x v="0"/>
    <n v="31"/>
    <n v="176667"/>
    <n v="13"/>
    <n v="73"/>
  </r>
  <r>
    <s v="P007"/>
    <x v="4"/>
    <x v="1"/>
    <x v="0"/>
    <x v="1"/>
    <n v="69"/>
    <n v="22784"/>
    <n v="24"/>
    <n v="57"/>
  </r>
  <r>
    <s v="P008"/>
    <x v="3"/>
    <x v="0"/>
    <x v="3"/>
    <x v="0"/>
    <n v="34"/>
    <n v="131608"/>
    <n v="4"/>
    <n v="77"/>
  </r>
  <r>
    <s v="P009"/>
    <x v="1"/>
    <x v="3"/>
    <x v="4"/>
    <x v="1"/>
    <n v="54"/>
    <n v="139591"/>
    <n v="23"/>
    <n v="95"/>
  </r>
  <r>
    <s v="P010"/>
    <x v="4"/>
    <x v="3"/>
    <x v="1"/>
    <x v="1"/>
    <n v="29"/>
    <n v="166033"/>
    <n v="27"/>
    <n v="74"/>
  </r>
  <r>
    <s v="P011"/>
    <x v="1"/>
    <x v="3"/>
    <x v="1"/>
    <x v="0"/>
    <n v="9"/>
    <n v="88354"/>
    <n v="6"/>
    <n v="84"/>
  </r>
  <r>
    <s v="P012"/>
    <x v="5"/>
    <x v="1"/>
    <x v="1"/>
    <x v="1"/>
    <n v="80"/>
    <n v="195118"/>
    <n v="26"/>
    <n v="59"/>
  </r>
  <r>
    <s v="P013"/>
    <x v="0"/>
    <x v="1"/>
    <x v="2"/>
    <x v="1"/>
    <n v="50"/>
    <n v="47354"/>
    <n v="19"/>
    <n v="64"/>
  </r>
  <r>
    <s v="P014"/>
    <x v="2"/>
    <x v="1"/>
    <x v="4"/>
    <x v="1"/>
    <n v="82"/>
    <n v="191304"/>
    <n v="13"/>
    <n v="59"/>
  </r>
  <r>
    <s v="P015"/>
    <x v="5"/>
    <x v="1"/>
    <x v="2"/>
    <x v="1"/>
    <n v="9"/>
    <n v="189177"/>
    <n v="15"/>
    <n v="64"/>
  </r>
  <r>
    <s v="P016"/>
    <x v="1"/>
    <x v="1"/>
    <x v="4"/>
    <x v="2"/>
    <n v="82"/>
    <n v="98912"/>
    <n v="7"/>
    <n v="81"/>
  </r>
  <r>
    <s v="P017"/>
    <x v="0"/>
    <x v="0"/>
    <x v="0"/>
    <x v="0"/>
    <n v="52"/>
    <n v="104049"/>
    <n v="6"/>
    <n v="95"/>
  </r>
  <r>
    <s v="P018"/>
    <x v="0"/>
    <x v="3"/>
    <x v="2"/>
    <x v="1"/>
    <n v="29"/>
    <n v="36424"/>
    <n v="14"/>
    <n v="94"/>
  </r>
  <r>
    <s v="P019"/>
    <x v="0"/>
    <x v="3"/>
    <x v="3"/>
    <x v="1"/>
    <n v="72"/>
    <n v="132986"/>
    <n v="20"/>
    <n v="57"/>
  </r>
  <r>
    <s v="P020"/>
    <x v="0"/>
    <x v="2"/>
    <x v="3"/>
    <x v="2"/>
    <n v="52"/>
    <n v="62233"/>
    <n v="13"/>
    <n v="92"/>
  </r>
  <r>
    <s v="P021"/>
    <x v="2"/>
    <x v="0"/>
    <x v="1"/>
    <x v="0"/>
    <n v="84"/>
    <n v="57606"/>
    <n v="11"/>
    <n v="59"/>
  </r>
  <r>
    <s v="P022"/>
    <x v="3"/>
    <x v="3"/>
    <x v="4"/>
    <x v="1"/>
    <n v="25"/>
    <n v="140610"/>
    <n v="13"/>
    <n v="68"/>
  </r>
  <r>
    <s v="P023"/>
    <x v="0"/>
    <x v="2"/>
    <x v="4"/>
    <x v="0"/>
    <n v="47"/>
    <n v="78281"/>
    <n v="17"/>
    <n v="78"/>
  </r>
  <r>
    <s v="P024"/>
    <x v="5"/>
    <x v="0"/>
    <x v="4"/>
    <x v="1"/>
    <n v="38"/>
    <n v="66707"/>
    <n v="19"/>
    <n v="80"/>
  </r>
  <r>
    <s v="P025"/>
    <x v="2"/>
    <x v="0"/>
    <x v="0"/>
    <x v="0"/>
    <n v="64"/>
    <n v="168778"/>
    <n v="7"/>
    <n v="90"/>
  </r>
  <r>
    <s v="P026"/>
    <x v="3"/>
    <x v="0"/>
    <x v="3"/>
    <x v="1"/>
    <n v="60"/>
    <n v="61181"/>
    <n v="18"/>
    <n v="86"/>
  </r>
  <r>
    <s v="P027"/>
    <x v="4"/>
    <x v="3"/>
    <x v="1"/>
    <x v="0"/>
    <n v="48"/>
    <n v="99996"/>
    <n v="17"/>
    <n v="50"/>
  </r>
  <r>
    <s v="P028"/>
    <x v="5"/>
    <x v="1"/>
    <x v="4"/>
    <x v="0"/>
    <n v="26"/>
    <n v="26541"/>
    <n v="15"/>
    <n v="82"/>
  </r>
  <r>
    <s v="P029"/>
    <x v="4"/>
    <x v="3"/>
    <x v="4"/>
    <x v="0"/>
    <n v="70"/>
    <n v="29017"/>
    <n v="3"/>
    <n v="82"/>
  </r>
  <r>
    <s v="P030"/>
    <x v="5"/>
    <x v="1"/>
    <x v="4"/>
    <x v="1"/>
    <n v="25"/>
    <n v="56689"/>
    <n v="19"/>
    <n v="91"/>
  </r>
  <r>
    <s v="P031"/>
    <x v="3"/>
    <x v="2"/>
    <x v="2"/>
    <x v="1"/>
    <n v="75"/>
    <n v="30104"/>
    <n v="12"/>
    <n v="63"/>
  </r>
  <r>
    <s v="P032"/>
    <x v="4"/>
    <x v="2"/>
    <x v="4"/>
    <x v="1"/>
    <n v="64"/>
    <n v="186428"/>
    <n v="29"/>
    <n v="51"/>
  </r>
  <r>
    <s v="P033"/>
    <x v="0"/>
    <x v="0"/>
    <x v="0"/>
    <x v="1"/>
    <n v="43"/>
    <n v="198390"/>
    <n v="5"/>
    <n v="63"/>
  </r>
  <r>
    <s v="P034"/>
    <x v="4"/>
    <x v="3"/>
    <x v="1"/>
    <x v="1"/>
    <n v="73"/>
    <n v="87668"/>
    <n v="17"/>
    <n v="56"/>
  </r>
  <r>
    <s v="P035"/>
    <x v="0"/>
    <x v="3"/>
    <x v="4"/>
    <x v="1"/>
    <n v="58"/>
    <n v="192660"/>
    <n v="16"/>
    <n v="59"/>
  </r>
  <r>
    <s v="P036"/>
    <x v="5"/>
    <x v="1"/>
    <x v="2"/>
    <x v="1"/>
    <n v="10"/>
    <n v="26986"/>
    <n v="4"/>
    <n v="87"/>
  </r>
  <r>
    <s v="P037"/>
    <x v="2"/>
    <x v="3"/>
    <x v="3"/>
    <x v="1"/>
    <n v="37"/>
    <n v="46357"/>
    <n v="6"/>
    <n v="91"/>
  </r>
  <r>
    <s v="P038"/>
    <x v="2"/>
    <x v="2"/>
    <x v="1"/>
    <x v="0"/>
    <n v="46"/>
    <n v="134575"/>
    <n v="7"/>
    <n v="83"/>
  </r>
  <r>
    <s v="P039"/>
    <x v="5"/>
    <x v="2"/>
    <x v="2"/>
    <x v="0"/>
    <n v="82"/>
    <n v="131767"/>
    <n v="11"/>
    <n v="82"/>
  </r>
  <r>
    <s v="P040"/>
    <x v="2"/>
    <x v="2"/>
    <x v="1"/>
    <x v="1"/>
    <n v="53"/>
    <n v="62796"/>
    <n v="8"/>
    <n v="92"/>
  </r>
  <r>
    <s v="P041"/>
    <x v="3"/>
    <x v="3"/>
    <x v="4"/>
    <x v="0"/>
    <n v="19"/>
    <n v="21765"/>
    <n v="20"/>
    <n v="72"/>
  </r>
  <r>
    <s v="P042"/>
    <x v="0"/>
    <x v="2"/>
    <x v="3"/>
    <x v="0"/>
    <n v="20"/>
    <n v="192023"/>
    <n v="14"/>
    <n v="79"/>
  </r>
  <r>
    <s v="P043"/>
    <x v="2"/>
    <x v="1"/>
    <x v="3"/>
    <x v="0"/>
    <n v="24"/>
    <n v="161475"/>
    <n v="18"/>
    <n v="71"/>
  </r>
  <r>
    <s v="P044"/>
    <x v="0"/>
    <x v="1"/>
    <x v="1"/>
    <x v="1"/>
    <n v="51"/>
    <n v="48789"/>
    <n v="30"/>
    <n v="92"/>
  </r>
  <r>
    <s v="P045"/>
    <x v="5"/>
    <x v="3"/>
    <x v="1"/>
    <x v="0"/>
    <n v="78"/>
    <n v="124093"/>
    <n v="21"/>
    <n v="90"/>
  </r>
  <r>
    <s v="P046"/>
    <x v="1"/>
    <x v="3"/>
    <x v="4"/>
    <x v="1"/>
    <n v="47"/>
    <n v="125840"/>
    <n v="12"/>
    <n v="74"/>
  </r>
  <r>
    <s v="P047"/>
    <x v="3"/>
    <x v="3"/>
    <x v="4"/>
    <x v="1"/>
    <n v="39"/>
    <n v="98947"/>
    <n v="16"/>
    <n v="81"/>
  </r>
  <r>
    <s v="P048"/>
    <x v="3"/>
    <x v="0"/>
    <x v="3"/>
    <x v="1"/>
    <n v="22"/>
    <n v="52656"/>
    <n v="4"/>
    <n v="66"/>
  </r>
  <r>
    <s v="P049"/>
    <x v="5"/>
    <x v="3"/>
    <x v="4"/>
    <x v="1"/>
    <n v="6"/>
    <n v="186434"/>
    <n v="15"/>
    <n v="52"/>
  </r>
  <r>
    <s v="P050"/>
    <x v="4"/>
    <x v="0"/>
    <x v="3"/>
    <x v="0"/>
    <n v="15"/>
    <n v="120240"/>
    <n v="30"/>
    <n v="81"/>
  </r>
  <r>
    <s v="P051"/>
    <x v="5"/>
    <x v="2"/>
    <x v="4"/>
    <x v="0"/>
    <n v="80"/>
    <n v="39688"/>
    <n v="26"/>
    <n v="73"/>
  </r>
  <r>
    <s v="P052"/>
    <x v="3"/>
    <x v="3"/>
    <x v="0"/>
    <x v="0"/>
    <n v="21"/>
    <n v="101611"/>
    <n v="27"/>
    <n v="89"/>
  </r>
  <r>
    <s v="P053"/>
    <x v="1"/>
    <x v="1"/>
    <x v="1"/>
    <x v="0"/>
    <n v="9"/>
    <n v="190841"/>
    <n v="7"/>
    <n v="64"/>
  </r>
  <r>
    <s v="P054"/>
    <x v="3"/>
    <x v="0"/>
    <x v="2"/>
    <x v="0"/>
    <n v="79"/>
    <n v="134086"/>
    <n v="3"/>
    <n v="67"/>
  </r>
  <r>
    <s v="P055"/>
    <x v="2"/>
    <x v="2"/>
    <x v="1"/>
    <x v="0"/>
    <n v="47"/>
    <n v="176725"/>
    <n v="15"/>
    <n v="85"/>
  </r>
  <r>
    <s v="P056"/>
    <x v="1"/>
    <x v="3"/>
    <x v="2"/>
    <x v="0"/>
    <n v="72"/>
    <n v="19696"/>
    <n v="6"/>
    <n v="93"/>
  </r>
  <r>
    <s v="P057"/>
    <x v="3"/>
    <x v="0"/>
    <x v="1"/>
    <x v="1"/>
    <n v="84"/>
    <n v="150623"/>
    <n v="5"/>
    <n v="70"/>
  </r>
  <r>
    <s v="P058"/>
    <x v="4"/>
    <x v="0"/>
    <x v="3"/>
    <x v="0"/>
    <n v="41"/>
    <n v="127535"/>
    <n v="22"/>
    <n v="81"/>
  </r>
  <r>
    <s v="P059"/>
    <x v="2"/>
    <x v="2"/>
    <x v="4"/>
    <x v="0"/>
    <n v="63"/>
    <n v="47622"/>
    <n v="27"/>
    <n v="91"/>
  </r>
  <r>
    <s v="P060"/>
    <x v="2"/>
    <x v="2"/>
    <x v="0"/>
    <x v="0"/>
    <n v="22"/>
    <n v="152274"/>
    <n v="17"/>
    <n v="91"/>
  </r>
  <r>
    <s v="P061"/>
    <x v="2"/>
    <x v="3"/>
    <x v="0"/>
    <x v="0"/>
    <n v="28"/>
    <n v="172026"/>
    <n v="28"/>
    <n v="90"/>
  </r>
  <r>
    <s v="P062"/>
    <x v="5"/>
    <x v="2"/>
    <x v="2"/>
    <x v="1"/>
    <n v="18"/>
    <n v="91976"/>
    <n v="21"/>
    <n v="79"/>
  </r>
  <r>
    <s v="P063"/>
    <x v="1"/>
    <x v="2"/>
    <x v="2"/>
    <x v="0"/>
    <n v="29"/>
    <n v="184942"/>
    <n v="4"/>
    <n v="59"/>
  </r>
  <r>
    <s v="P064"/>
    <x v="3"/>
    <x v="2"/>
    <x v="0"/>
    <x v="0"/>
    <n v="53"/>
    <n v="192320"/>
    <n v="3"/>
    <n v="85"/>
  </r>
  <r>
    <s v="P065"/>
    <x v="0"/>
    <x v="2"/>
    <x v="1"/>
    <x v="1"/>
    <n v="9"/>
    <n v="124494"/>
    <n v="10"/>
    <n v="81"/>
  </r>
  <r>
    <s v="P066"/>
    <x v="3"/>
    <x v="2"/>
    <x v="2"/>
    <x v="0"/>
    <n v="61"/>
    <n v="183650"/>
    <n v="5"/>
    <n v="89"/>
  </r>
  <r>
    <s v="P067"/>
    <x v="3"/>
    <x v="2"/>
    <x v="0"/>
    <x v="1"/>
    <n v="80"/>
    <n v="63190"/>
    <n v="28"/>
    <n v="60"/>
  </r>
  <r>
    <s v="P068"/>
    <x v="3"/>
    <x v="1"/>
    <x v="3"/>
    <x v="1"/>
    <n v="68"/>
    <n v="155594"/>
    <n v="7"/>
    <n v="52"/>
  </r>
  <r>
    <s v="P069"/>
    <x v="1"/>
    <x v="1"/>
    <x v="1"/>
    <x v="1"/>
    <n v="74"/>
    <n v="106999"/>
    <n v="7"/>
    <n v="88"/>
  </r>
  <r>
    <s v="P070"/>
    <x v="4"/>
    <x v="1"/>
    <x v="3"/>
    <x v="0"/>
    <n v="23"/>
    <n v="70145"/>
    <n v="9"/>
    <n v="68"/>
  </r>
  <r>
    <s v="P071"/>
    <x v="0"/>
    <x v="1"/>
    <x v="4"/>
    <x v="1"/>
    <n v="49"/>
    <n v="100843"/>
    <n v="9"/>
    <n v="66"/>
  </r>
  <r>
    <s v="P072"/>
    <x v="4"/>
    <x v="1"/>
    <x v="0"/>
    <x v="0"/>
    <n v="72"/>
    <n v="161955"/>
    <n v="10"/>
    <n v="91"/>
  </r>
  <r>
    <s v="P073"/>
    <x v="0"/>
    <x v="2"/>
    <x v="1"/>
    <x v="1"/>
    <n v="53"/>
    <n v="66194"/>
    <n v="5"/>
    <n v="52"/>
  </r>
  <r>
    <s v="P074"/>
    <x v="3"/>
    <x v="1"/>
    <x v="2"/>
    <x v="0"/>
    <n v="71"/>
    <n v="92027"/>
    <n v="28"/>
    <n v="76"/>
  </r>
  <r>
    <s v="P075"/>
    <x v="3"/>
    <x v="3"/>
    <x v="0"/>
    <x v="1"/>
    <n v="47"/>
    <n v="35293"/>
    <n v="9"/>
    <n v="87"/>
  </r>
  <r>
    <s v="P076"/>
    <x v="4"/>
    <x v="3"/>
    <x v="2"/>
    <x v="1"/>
    <n v="67"/>
    <n v="146438"/>
    <n v="7"/>
    <n v="60"/>
  </r>
  <r>
    <s v="P077"/>
    <x v="5"/>
    <x v="0"/>
    <x v="3"/>
    <x v="1"/>
    <n v="63"/>
    <n v="162203"/>
    <n v="11"/>
    <n v="59"/>
  </r>
  <r>
    <s v="P078"/>
    <x v="0"/>
    <x v="1"/>
    <x v="3"/>
    <x v="0"/>
    <n v="35"/>
    <n v="179115"/>
    <n v="28"/>
    <n v="54"/>
  </r>
  <r>
    <s v="P079"/>
    <x v="2"/>
    <x v="1"/>
    <x v="0"/>
    <x v="0"/>
    <n v="9"/>
    <n v="146103"/>
    <n v="24"/>
    <n v="85"/>
  </r>
  <r>
    <s v="P080"/>
    <x v="0"/>
    <x v="3"/>
    <x v="2"/>
    <x v="1"/>
    <n v="36"/>
    <n v="119209"/>
    <n v="17"/>
    <n v="78"/>
  </r>
  <r>
    <s v="P081"/>
    <x v="3"/>
    <x v="3"/>
    <x v="4"/>
    <x v="1"/>
    <n v="60"/>
    <n v="152482"/>
    <n v="17"/>
    <n v="67"/>
  </r>
  <r>
    <s v="P082"/>
    <x v="1"/>
    <x v="1"/>
    <x v="3"/>
    <x v="1"/>
    <n v="25"/>
    <n v="72067"/>
    <n v="7"/>
    <n v="62"/>
  </r>
  <r>
    <s v="P083"/>
    <x v="4"/>
    <x v="0"/>
    <x v="0"/>
    <x v="0"/>
    <n v="3"/>
    <n v="76800"/>
    <n v="7"/>
    <n v="92"/>
  </r>
  <r>
    <s v="P084"/>
    <x v="3"/>
    <x v="2"/>
    <x v="4"/>
    <x v="1"/>
    <n v="79"/>
    <n v="190486"/>
    <n v="16"/>
    <n v="93"/>
  </r>
  <r>
    <s v="P085"/>
    <x v="0"/>
    <x v="0"/>
    <x v="3"/>
    <x v="0"/>
    <n v="17"/>
    <n v="29965"/>
    <n v="20"/>
    <n v="57"/>
  </r>
  <r>
    <s v="P086"/>
    <x v="3"/>
    <x v="3"/>
    <x v="1"/>
    <x v="1"/>
    <n v="26"/>
    <n v="128566"/>
    <n v="7"/>
    <n v="92"/>
  </r>
  <r>
    <s v="P087"/>
    <x v="2"/>
    <x v="1"/>
    <x v="4"/>
    <x v="1"/>
    <n v="11"/>
    <n v="80089"/>
    <n v="4"/>
    <n v="79"/>
  </r>
  <r>
    <s v="P088"/>
    <x v="2"/>
    <x v="1"/>
    <x v="3"/>
    <x v="0"/>
    <n v="62"/>
    <n v="190461"/>
    <n v="26"/>
    <n v="65"/>
  </r>
  <r>
    <s v="P089"/>
    <x v="3"/>
    <x v="3"/>
    <x v="2"/>
    <x v="1"/>
    <n v="15"/>
    <n v="98934"/>
    <n v="6"/>
    <n v="91"/>
  </r>
  <r>
    <s v="P090"/>
    <x v="1"/>
    <x v="1"/>
    <x v="1"/>
    <x v="1"/>
    <n v="6"/>
    <n v="24688"/>
    <n v="19"/>
    <n v="91"/>
  </r>
  <r>
    <s v="P091"/>
    <x v="4"/>
    <x v="1"/>
    <x v="2"/>
    <x v="0"/>
    <n v="40"/>
    <n v="54856"/>
    <n v="13"/>
    <n v="91"/>
  </r>
  <r>
    <s v="P092"/>
    <x v="4"/>
    <x v="2"/>
    <x v="1"/>
    <x v="0"/>
    <n v="28"/>
    <n v="150371"/>
    <n v="23"/>
    <n v="71"/>
  </r>
  <r>
    <s v="P093"/>
    <x v="3"/>
    <x v="1"/>
    <x v="2"/>
    <x v="1"/>
    <n v="13"/>
    <n v="187266"/>
    <n v="5"/>
    <n v="92"/>
  </r>
  <r>
    <s v="P094"/>
    <x v="0"/>
    <x v="0"/>
    <x v="1"/>
    <x v="0"/>
    <n v="81"/>
    <n v="84198"/>
    <n v="16"/>
    <n v="87"/>
  </r>
  <r>
    <s v="P095"/>
    <x v="3"/>
    <x v="3"/>
    <x v="1"/>
    <x v="0"/>
    <n v="57"/>
    <n v="55722"/>
    <n v="4"/>
    <n v="90"/>
  </r>
  <r>
    <s v="P096"/>
    <x v="1"/>
    <x v="0"/>
    <x v="4"/>
    <x v="0"/>
    <n v="35"/>
    <n v="186498"/>
    <n v="14"/>
    <n v="63"/>
  </r>
  <r>
    <s v="P097"/>
    <x v="3"/>
    <x v="1"/>
    <x v="4"/>
    <x v="0"/>
    <n v="68"/>
    <n v="162136"/>
    <n v="27"/>
    <n v="89"/>
  </r>
  <r>
    <s v="P098"/>
    <x v="0"/>
    <x v="2"/>
    <x v="3"/>
    <x v="1"/>
    <n v="20"/>
    <n v="26200"/>
    <n v="13"/>
    <n v="94"/>
  </r>
  <r>
    <s v="P099"/>
    <x v="4"/>
    <x v="2"/>
    <x v="2"/>
    <x v="1"/>
    <n v="81"/>
    <n v="148284"/>
    <n v="8"/>
    <n v="68"/>
  </r>
  <r>
    <s v="P100"/>
    <x v="3"/>
    <x v="2"/>
    <x v="1"/>
    <x v="0"/>
    <n v="75"/>
    <n v="92383"/>
    <n v="14"/>
    <n v="73"/>
  </r>
  <r>
    <s v="P101"/>
    <x v="5"/>
    <x v="1"/>
    <x v="1"/>
    <x v="0"/>
    <n v="48"/>
    <n v="35633"/>
    <n v="20"/>
    <n v="89"/>
  </r>
  <r>
    <s v="P102"/>
    <x v="4"/>
    <x v="3"/>
    <x v="3"/>
    <x v="1"/>
    <n v="85"/>
    <n v="150104"/>
    <n v="21"/>
    <n v="95"/>
  </r>
  <r>
    <s v="P103"/>
    <x v="1"/>
    <x v="1"/>
    <x v="1"/>
    <x v="1"/>
    <n v="23"/>
    <n v="48056"/>
    <n v="16"/>
    <n v="76"/>
  </r>
  <r>
    <s v="P104"/>
    <x v="0"/>
    <x v="3"/>
    <x v="4"/>
    <x v="1"/>
    <n v="56"/>
    <n v="44253"/>
    <n v="23"/>
    <n v="85"/>
  </r>
  <r>
    <s v="P105"/>
    <x v="4"/>
    <x v="0"/>
    <x v="1"/>
    <x v="1"/>
    <n v="5"/>
    <n v="138456"/>
    <n v="10"/>
    <n v="61"/>
  </r>
  <r>
    <s v="P106"/>
    <x v="5"/>
    <x v="2"/>
    <x v="4"/>
    <x v="0"/>
    <n v="58"/>
    <n v="158525"/>
    <n v="5"/>
    <n v="72"/>
  </r>
  <r>
    <s v="P107"/>
    <x v="2"/>
    <x v="1"/>
    <x v="0"/>
    <x v="0"/>
    <n v="39"/>
    <n v="38377"/>
    <n v="4"/>
    <n v="63"/>
  </r>
  <r>
    <s v="P108"/>
    <x v="3"/>
    <x v="3"/>
    <x v="3"/>
    <x v="0"/>
    <n v="42"/>
    <n v="111388"/>
    <n v="29"/>
    <n v="64"/>
  </r>
  <r>
    <s v="P109"/>
    <x v="4"/>
    <x v="3"/>
    <x v="4"/>
    <x v="0"/>
    <n v="29"/>
    <n v="124056"/>
    <n v="5"/>
    <n v="68"/>
  </r>
  <r>
    <s v="P110"/>
    <x v="0"/>
    <x v="1"/>
    <x v="4"/>
    <x v="0"/>
    <n v="45"/>
    <n v="43096"/>
    <n v="20"/>
    <n v="61"/>
  </r>
  <r>
    <s v="P111"/>
    <x v="2"/>
    <x v="3"/>
    <x v="4"/>
    <x v="1"/>
    <n v="60"/>
    <n v="170881"/>
    <n v="30"/>
    <n v="82"/>
  </r>
  <r>
    <s v="P112"/>
    <x v="0"/>
    <x v="1"/>
    <x v="2"/>
    <x v="0"/>
    <n v="83"/>
    <n v="171323"/>
    <n v="9"/>
    <n v="68"/>
  </r>
  <r>
    <s v="P113"/>
    <x v="3"/>
    <x v="3"/>
    <x v="0"/>
    <x v="0"/>
    <n v="26"/>
    <n v="132874"/>
    <n v="26"/>
    <n v="77"/>
  </r>
  <r>
    <s v="P114"/>
    <x v="0"/>
    <x v="3"/>
    <x v="0"/>
    <x v="0"/>
    <n v="13"/>
    <n v="169010"/>
    <n v="11"/>
    <n v="65"/>
  </r>
  <r>
    <s v="P115"/>
    <x v="5"/>
    <x v="0"/>
    <x v="2"/>
    <x v="0"/>
    <n v="44"/>
    <n v="193516"/>
    <n v="15"/>
    <n v="66"/>
  </r>
  <r>
    <s v="P116"/>
    <x v="1"/>
    <x v="3"/>
    <x v="0"/>
    <x v="1"/>
    <n v="70"/>
    <n v="164581"/>
    <n v="6"/>
    <n v="66"/>
  </r>
  <r>
    <s v="P117"/>
    <x v="1"/>
    <x v="1"/>
    <x v="1"/>
    <x v="1"/>
    <n v="81"/>
    <n v="41495"/>
    <n v="16"/>
    <n v="90"/>
  </r>
  <r>
    <s v="P118"/>
    <x v="1"/>
    <x v="3"/>
    <x v="2"/>
    <x v="0"/>
    <n v="81"/>
    <n v="170672"/>
    <n v="9"/>
    <n v="56"/>
  </r>
  <r>
    <s v="P119"/>
    <x v="2"/>
    <x v="3"/>
    <x v="3"/>
    <x v="0"/>
    <n v="73"/>
    <n v="27657"/>
    <n v="17"/>
    <n v="87"/>
  </r>
  <r>
    <s v="P120"/>
    <x v="0"/>
    <x v="3"/>
    <x v="0"/>
    <x v="1"/>
    <n v="5"/>
    <n v="107526"/>
    <n v="27"/>
    <n v="70"/>
  </r>
  <r>
    <s v="P121"/>
    <x v="0"/>
    <x v="0"/>
    <x v="1"/>
    <x v="0"/>
    <n v="16"/>
    <n v="132833"/>
    <n v="21"/>
    <n v="78"/>
  </r>
  <r>
    <s v="P122"/>
    <x v="3"/>
    <x v="1"/>
    <x v="1"/>
    <x v="1"/>
    <n v="3"/>
    <n v="21639"/>
    <n v="26"/>
    <n v="70"/>
  </r>
  <r>
    <s v="P123"/>
    <x v="5"/>
    <x v="3"/>
    <x v="0"/>
    <x v="1"/>
    <n v="27"/>
    <n v="48499"/>
    <n v="17"/>
    <n v="95"/>
  </r>
  <r>
    <s v="P124"/>
    <x v="0"/>
    <x v="2"/>
    <x v="4"/>
    <x v="0"/>
    <n v="24"/>
    <n v="176163"/>
    <n v="29"/>
    <n v="65"/>
  </r>
  <r>
    <s v="P125"/>
    <x v="5"/>
    <x v="2"/>
    <x v="2"/>
    <x v="1"/>
    <n v="44"/>
    <n v="44469"/>
    <n v="4"/>
    <n v="85"/>
  </r>
  <r>
    <s v="P126"/>
    <x v="5"/>
    <x v="3"/>
    <x v="1"/>
    <x v="1"/>
    <n v="50"/>
    <n v="183513"/>
    <n v="24"/>
    <n v="83"/>
  </r>
  <r>
    <s v="P127"/>
    <x v="2"/>
    <x v="1"/>
    <x v="3"/>
    <x v="0"/>
    <n v="46"/>
    <n v="21466"/>
    <n v="16"/>
    <n v="86"/>
  </r>
  <r>
    <s v="P128"/>
    <x v="5"/>
    <x v="3"/>
    <x v="2"/>
    <x v="1"/>
    <n v="44"/>
    <n v="79182"/>
    <n v="7"/>
    <n v="90"/>
  </r>
  <r>
    <s v="P129"/>
    <x v="2"/>
    <x v="3"/>
    <x v="2"/>
    <x v="1"/>
    <n v="51"/>
    <n v="44905"/>
    <n v="7"/>
    <n v="85"/>
  </r>
  <r>
    <s v="P130"/>
    <x v="0"/>
    <x v="0"/>
    <x v="4"/>
    <x v="1"/>
    <n v="81"/>
    <n v="15079"/>
    <n v="17"/>
    <n v="68"/>
  </r>
  <r>
    <s v="P131"/>
    <x v="3"/>
    <x v="3"/>
    <x v="3"/>
    <x v="1"/>
    <n v="80"/>
    <n v="181447"/>
    <n v="21"/>
    <n v="93"/>
  </r>
  <r>
    <s v="P132"/>
    <x v="1"/>
    <x v="3"/>
    <x v="1"/>
    <x v="1"/>
    <n v="34"/>
    <n v="105643"/>
    <n v="5"/>
    <n v="55"/>
  </r>
  <r>
    <s v="P133"/>
    <x v="0"/>
    <x v="1"/>
    <x v="4"/>
    <x v="0"/>
    <n v="21"/>
    <n v="108592"/>
    <n v="16"/>
    <n v="50"/>
  </r>
  <r>
    <s v="P134"/>
    <x v="5"/>
    <x v="3"/>
    <x v="3"/>
    <x v="1"/>
    <n v="3"/>
    <n v="38714"/>
    <n v="13"/>
    <n v="65"/>
  </r>
  <r>
    <s v="P135"/>
    <x v="4"/>
    <x v="2"/>
    <x v="2"/>
    <x v="1"/>
    <n v="57"/>
    <n v="135017"/>
    <n v="12"/>
    <n v="69"/>
  </r>
  <r>
    <s v="P136"/>
    <x v="5"/>
    <x v="1"/>
    <x v="1"/>
    <x v="1"/>
    <n v="55"/>
    <n v="24172"/>
    <n v="11"/>
    <n v="59"/>
  </r>
  <r>
    <s v="P137"/>
    <x v="3"/>
    <x v="3"/>
    <x v="4"/>
    <x v="0"/>
    <n v="5"/>
    <n v="182375"/>
    <n v="6"/>
    <n v="57"/>
  </r>
  <r>
    <s v="P138"/>
    <x v="1"/>
    <x v="2"/>
    <x v="0"/>
    <x v="1"/>
    <n v="69"/>
    <n v="113321"/>
    <n v="26"/>
    <n v="52"/>
  </r>
  <r>
    <s v="P139"/>
    <x v="1"/>
    <x v="0"/>
    <x v="3"/>
    <x v="1"/>
    <n v="56"/>
    <n v="174057"/>
    <n v="19"/>
    <n v="84"/>
  </r>
  <r>
    <s v="P140"/>
    <x v="2"/>
    <x v="0"/>
    <x v="2"/>
    <x v="1"/>
    <n v="74"/>
    <n v="52277"/>
    <n v="8"/>
    <n v="64"/>
  </r>
  <r>
    <s v="P141"/>
    <x v="3"/>
    <x v="0"/>
    <x v="2"/>
    <x v="0"/>
    <n v="62"/>
    <n v="169943"/>
    <n v="19"/>
    <n v="56"/>
  </r>
  <r>
    <s v="P142"/>
    <x v="4"/>
    <x v="1"/>
    <x v="2"/>
    <x v="1"/>
    <n v="41"/>
    <n v="181589"/>
    <n v="11"/>
    <n v="89"/>
  </r>
  <r>
    <s v="P143"/>
    <x v="5"/>
    <x v="3"/>
    <x v="0"/>
    <x v="0"/>
    <n v="31"/>
    <n v="59732"/>
    <n v="24"/>
    <n v="62"/>
  </r>
  <r>
    <s v="P144"/>
    <x v="5"/>
    <x v="1"/>
    <x v="2"/>
    <x v="1"/>
    <n v="79"/>
    <n v="15998"/>
    <n v="10"/>
    <n v="75"/>
  </r>
  <r>
    <s v="P145"/>
    <x v="1"/>
    <x v="1"/>
    <x v="3"/>
    <x v="1"/>
    <n v="61"/>
    <n v="160019"/>
    <n v="18"/>
    <n v="73"/>
  </r>
  <r>
    <s v="P146"/>
    <x v="2"/>
    <x v="0"/>
    <x v="3"/>
    <x v="0"/>
    <n v="68"/>
    <n v="134766"/>
    <n v="16"/>
    <n v="62"/>
  </r>
  <r>
    <s v="P147"/>
    <x v="5"/>
    <x v="0"/>
    <x v="3"/>
    <x v="1"/>
    <n v="31"/>
    <n v="185566"/>
    <n v="27"/>
    <n v="73"/>
  </r>
  <r>
    <s v="P148"/>
    <x v="5"/>
    <x v="0"/>
    <x v="3"/>
    <x v="0"/>
    <n v="19"/>
    <n v="81712"/>
    <n v="3"/>
    <n v="67"/>
  </r>
  <r>
    <s v="P149"/>
    <x v="3"/>
    <x v="1"/>
    <x v="1"/>
    <x v="0"/>
    <n v="56"/>
    <n v="75558"/>
    <n v="17"/>
    <n v="80"/>
  </r>
  <r>
    <s v="P150"/>
    <x v="2"/>
    <x v="3"/>
    <x v="2"/>
    <x v="1"/>
    <n v="56"/>
    <n v="80141"/>
    <n v="12"/>
    <n v="73"/>
  </r>
  <r>
    <s v="P151"/>
    <x v="5"/>
    <x v="0"/>
    <x v="4"/>
    <x v="0"/>
    <n v="33"/>
    <n v="39837"/>
    <n v="19"/>
    <n v="88"/>
  </r>
  <r>
    <s v="P152"/>
    <x v="1"/>
    <x v="3"/>
    <x v="3"/>
    <x v="1"/>
    <n v="52"/>
    <n v="49814"/>
    <n v="25"/>
    <n v="61"/>
  </r>
  <r>
    <s v="P153"/>
    <x v="3"/>
    <x v="3"/>
    <x v="2"/>
    <x v="0"/>
    <n v="82"/>
    <n v="41064"/>
    <n v="15"/>
    <n v="79"/>
  </r>
  <r>
    <s v="P154"/>
    <x v="5"/>
    <x v="1"/>
    <x v="2"/>
    <x v="1"/>
    <n v="40"/>
    <n v="57384"/>
    <n v="18"/>
    <n v="52"/>
  </r>
  <r>
    <s v="P155"/>
    <x v="0"/>
    <x v="1"/>
    <x v="4"/>
    <x v="1"/>
    <n v="38"/>
    <n v="24188"/>
    <n v="25"/>
    <n v="56"/>
  </r>
  <r>
    <s v="P156"/>
    <x v="2"/>
    <x v="1"/>
    <x v="2"/>
    <x v="0"/>
    <n v="38"/>
    <n v="24945"/>
    <n v="20"/>
    <n v="66"/>
  </r>
  <r>
    <s v="P157"/>
    <x v="4"/>
    <x v="3"/>
    <x v="0"/>
    <x v="1"/>
    <n v="39"/>
    <n v="108824"/>
    <n v="16"/>
    <n v="54"/>
  </r>
  <r>
    <s v="P158"/>
    <x v="3"/>
    <x v="0"/>
    <x v="1"/>
    <x v="1"/>
    <n v="41"/>
    <n v="193593"/>
    <n v="23"/>
    <n v="95"/>
  </r>
  <r>
    <s v="P159"/>
    <x v="4"/>
    <x v="1"/>
    <x v="3"/>
    <x v="1"/>
    <n v="77"/>
    <n v="107726"/>
    <n v="8"/>
    <n v="83"/>
  </r>
  <r>
    <s v="P160"/>
    <x v="4"/>
    <x v="3"/>
    <x v="3"/>
    <x v="0"/>
    <n v="76"/>
    <n v="199134"/>
    <n v="24"/>
    <n v="84"/>
  </r>
  <r>
    <s v="P161"/>
    <x v="1"/>
    <x v="3"/>
    <x v="1"/>
    <x v="1"/>
    <n v="19"/>
    <n v="109563"/>
    <n v="16"/>
    <n v="75"/>
  </r>
  <r>
    <s v="P162"/>
    <x v="4"/>
    <x v="2"/>
    <x v="1"/>
    <x v="0"/>
    <n v="13"/>
    <n v="162801"/>
    <n v="24"/>
    <n v="87"/>
  </r>
  <r>
    <s v="P163"/>
    <x v="5"/>
    <x v="1"/>
    <x v="3"/>
    <x v="0"/>
    <n v="65"/>
    <n v="175996"/>
    <n v="25"/>
    <n v="93"/>
  </r>
  <r>
    <s v="P164"/>
    <x v="3"/>
    <x v="0"/>
    <x v="3"/>
    <x v="1"/>
    <n v="60"/>
    <n v="33596"/>
    <n v="20"/>
    <n v="74"/>
  </r>
  <r>
    <s v="P165"/>
    <x v="1"/>
    <x v="0"/>
    <x v="4"/>
    <x v="0"/>
    <n v="43"/>
    <n v="97298"/>
    <n v="5"/>
    <n v="92"/>
  </r>
  <r>
    <s v="P166"/>
    <x v="1"/>
    <x v="2"/>
    <x v="2"/>
    <x v="0"/>
    <n v="18"/>
    <n v="99652"/>
    <n v="9"/>
    <n v="77"/>
  </r>
  <r>
    <s v="P167"/>
    <x v="1"/>
    <x v="3"/>
    <x v="4"/>
    <x v="1"/>
    <n v="41"/>
    <n v="85347"/>
    <n v="11"/>
    <n v="54"/>
  </r>
  <r>
    <s v="P168"/>
    <x v="0"/>
    <x v="1"/>
    <x v="1"/>
    <x v="0"/>
    <n v="57"/>
    <n v="48535"/>
    <n v="6"/>
    <n v="77"/>
  </r>
  <r>
    <s v="P169"/>
    <x v="2"/>
    <x v="3"/>
    <x v="0"/>
    <x v="1"/>
    <n v="18"/>
    <n v="125819"/>
    <n v="12"/>
    <n v="82"/>
  </r>
  <r>
    <s v="P170"/>
    <x v="4"/>
    <x v="3"/>
    <x v="2"/>
    <x v="0"/>
    <n v="38"/>
    <n v="87649"/>
    <n v="12"/>
    <n v="72"/>
  </r>
  <r>
    <s v="P171"/>
    <x v="2"/>
    <x v="2"/>
    <x v="0"/>
    <x v="1"/>
    <n v="71"/>
    <n v="16843"/>
    <n v="4"/>
    <n v="81"/>
  </r>
  <r>
    <s v="P172"/>
    <x v="3"/>
    <x v="0"/>
    <x v="0"/>
    <x v="1"/>
    <n v="52"/>
    <n v="129665"/>
    <n v="23"/>
    <n v="72"/>
  </r>
  <r>
    <s v="P173"/>
    <x v="0"/>
    <x v="2"/>
    <x v="1"/>
    <x v="1"/>
    <n v="31"/>
    <n v="19680"/>
    <n v="29"/>
    <n v="70"/>
  </r>
  <r>
    <s v="P174"/>
    <x v="0"/>
    <x v="1"/>
    <x v="3"/>
    <x v="1"/>
    <n v="81"/>
    <n v="48117"/>
    <n v="21"/>
    <n v="67"/>
  </r>
  <r>
    <s v="P175"/>
    <x v="2"/>
    <x v="3"/>
    <x v="4"/>
    <x v="1"/>
    <n v="36"/>
    <n v="90628"/>
    <n v="27"/>
    <n v="59"/>
  </r>
  <r>
    <s v="P176"/>
    <x v="1"/>
    <x v="2"/>
    <x v="4"/>
    <x v="1"/>
    <n v="33"/>
    <n v="22868"/>
    <n v="5"/>
    <n v="53"/>
  </r>
  <r>
    <s v="P177"/>
    <x v="1"/>
    <x v="2"/>
    <x v="0"/>
    <x v="1"/>
    <n v="49"/>
    <n v="159122"/>
    <n v="23"/>
    <n v="74"/>
  </r>
  <r>
    <s v="P178"/>
    <x v="1"/>
    <x v="2"/>
    <x v="1"/>
    <x v="1"/>
    <n v="42"/>
    <n v="71782"/>
    <n v="9"/>
    <n v="77"/>
  </r>
  <r>
    <s v="P179"/>
    <x v="5"/>
    <x v="1"/>
    <x v="1"/>
    <x v="1"/>
    <n v="32"/>
    <n v="70482"/>
    <n v="21"/>
    <n v="55"/>
  </r>
  <r>
    <s v="P180"/>
    <x v="0"/>
    <x v="0"/>
    <x v="0"/>
    <x v="1"/>
    <n v="77"/>
    <n v="117489"/>
    <n v="6"/>
    <n v="77"/>
  </r>
  <r>
    <s v="P181"/>
    <x v="2"/>
    <x v="2"/>
    <x v="3"/>
    <x v="0"/>
    <n v="33"/>
    <n v="161902"/>
    <n v="27"/>
    <n v="50"/>
  </r>
  <r>
    <s v="P182"/>
    <x v="2"/>
    <x v="3"/>
    <x v="0"/>
    <x v="0"/>
    <n v="51"/>
    <n v="20304"/>
    <n v="17"/>
    <n v="80"/>
  </r>
  <r>
    <s v="P183"/>
    <x v="0"/>
    <x v="3"/>
    <x v="3"/>
    <x v="2"/>
    <n v="6"/>
    <n v="90802"/>
    <n v="7"/>
    <n v="55"/>
  </r>
  <r>
    <s v="P184"/>
    <x v="1"/>
    <x v="1"/>
    <x v="4"/>
    <x v="1"/>
    <n v="21"/>
    <n v="40710"/>
    <n v="18"/>
    <n v="89"/>
  </r>
  <r>
    <s v="P185"/>
    <x v="3"/>
    <x v="0"/>
    <x v="4"/>
    <x v="1"/>
    <n v="66"/>
    <n v="123295"/>
    <n v="9"/>
    <n v="54"/>
  </r>
  <r>
    <s v="P186"/>
    <x v="1"/>
    <x v="3"/>
    <x v="0"/>
    <x v="1"/>
    <n v="60"/>
    <n v="161372"/>
    <n v="14"/>
    <n v="74"/>
  </r>
  <r>
    <s v="P187"/>
    <x v="4"/>
    <x v="2"/>
    <x v="4"/>
    <x v="0"/>
    <n v="8"/>
    <n v="101508"/>
    <n v="8"/>
    <n v="86"/>
  </r>
  <r>
    <s v="P188"/>
    <x v="0"/>
    <x v="0"/>
    <x v="1"/>
    <x v="0"/>
    <n v="60"/>
    <n v="153453"/>
    <n v="19"/>
    <n v="76"/>
  </r>
  <r>
    <s v="P189"/>
    <x v="0"/>
    <x v="1"/>
    <x v="4"/>
    <x v="1"/>
    <n v="29"/>
    <n v="184791"/>
    <n v="19"/>
    <n v="82"/>
  </r>
  <r>
    <s v="P190"/>
    <x v="1"/>
    <x v="0"/>
    <x v="0"/>
    <x v="0"/>
    <n v="81"/>
    <n v="121064"/>
    <n v="23"/>
    <n v="71"/>
  </r>
  <r>
    <s v="P191"/>
    <x v="2"/>
    <x v="2"/>
    <x v="3"/>
    <x v="1"/>
    <n v="60"/>
    <n v="59983"/>
    <n v="15"/>
    <n v="86"/>
  </r>
  <r>
    <s v="P192"/>
    <x v="3"/>
    <x v="2"/>
    <x v="2"/>
    <x v="0"/>
    <n v="36"/>
    <n v="153347"/>
    <n v="8"/>
    <n v="92"/>
  </r>
  <r>
    <s v="P193"/>
    <x v="5"/>
    <x v="1"/>
    <x v="4"/>
    <x v="1"/>
    <n v="3"/>
    <n v="36600"/>
    <n v="17"/>
    <n v="87"/>
  </r>
  <r>
    <s v="P194"/>
    <x v="4"/>
    <x v="0"/>
    <x v="1"/>
    <x v="0"/>
    <n v="46"/>
    <n v="134063"/>
    <n v="3"/>
    <n v="67"/>
  </r>
  <r>
    <s v="P195"/>
    <x v="1"/>
    <x v="3"/>
    <x v="0"/>
    <x v="0"/>
    <n v="28"/>
    <n v="135445"/>
    <n v="12"/>
    <n v="80"/>
  </r>
  <r>
    <s v="P196"/>
    <x v="1"/>
    <x v="2"/>
    <x v="2"/>
    <x v="0"/>
    <n v="73"/>
    <n v="101529"/>
    <n v="19"/>
    <n v="69"/>
  </r>
  <r>
    <s v="P197"/>
    <x v="2"/>
    <x v="3"/>
    <x v="1"/>
    <x v="0"/>
    <n v="31"/>
    <n v="168366"/>
    <n v="8"/>
    <n v="76"/>
  </r>
  <r>
    <s v="P198"/>
    <x v="0"/>
    <x v="3"/>
    <x v="3"/>
    <x v="0"/>
    <n v="36"/>
    <n v="28716"/>
    <n v="29"/>
    <n v="73"/>
  </r>
  <r>
    <s v="P199"/>
    <x v="4"/>
    <x v="0"/>
    <x v="2"/>
    <x v="0"/>
    <n v="35"/>
    <n v="91050"/>
    <n v="22"/>
    <n v="65"/>
  </r>
  <r>
    <s v="P200"/>
    <x v="4"/>
    <x v="1"/>
    <x v="3"/>
    <x v="1"/>
    <n v="39"/>
    <n v="124862"/>
    <n v="23"/>
    <n v="88"/>
  </r>
  <r>
    <s v="P201"/>
    <x v="5"/>
    <x v="2"/>
    <x v="1"/>
    <x v="1"/>
    <n v="29"/>
    <n v="116528"/>
    <n v="23"/>
    <n v="53"/>
  </r>
  <r>
    <s v="P202"/>
    <x v="3"/>
    <x v="0"/>
    <x v="1"/>
    <x v="1"/>
    <n v="30"/>
    <n v="189376"/>
    <n v="14"/>
    <n v="62"/>
  </r>
  <r>
    <s v="P203"/>
    <x v="1"/>
    <x v="1"/>
    <x v="2"/>
    <x v="1"/>
    <n v="53"/>
    <n v="82672"/>
    <n v="7"/>
    <n v="58"/>
  </r>
  <r>
    <s v="P204"/>
    <x v="4"/>
    <x v="1"/>
    <x v="4"/>
    <x v="0"/>
    <n v="12"/>
    <n v="32701"/>
    <n v="30"/>
    <n v="94"/>
  </r>
  <r>
    <s v="P205"/>
    <x v="3"/>
    <x v="3"/>
    <x v="1"/>
    <x v="1"/>
    <n v="45"/>
    <n v="60523"/>
    <n v="26"/>
    <n v="74"/>
  </r>
  <r>
    <s v="P206"/>
    <x v="0"/>
    <x v="2"/>
    <x v="2"/>
    <x v="1"/>
    <n v="72"/>
    <n v="139196"/>
    <n v="15"/>
    <n v="51"/>
  </r>
  <r>
    <s v="P207"/>
    <x v="4"/>
    <x v="3"/>
    <x v="3"/>
    <x v="0"/>
    <n v="52"/>
    <n v="110991"/>
    <n v="7"/>
    <n v="51"/>
  </r>
  <r>
    <s v="P208"/>
    <x v="4"/>
    <x v="3"/>
    <x v="0"/>
    <x v="1"/>
    <n v="54"/>
    <n v="178064"/>
    <n v="7"/>
    <n v="67"/>
  </r>
  <r>
    <s v="P209"/>
    <x v="0"/>
    <x v="0"/>
    <x v="0"/>
    <x v="2"/>
    <n v="49"/>
    <n v="31919"/>
    <n v="18"/>
    <n v="94"/>
  </r>
  <r>
    <s v="P210"/>
    <x v="1"/>
    <x v="1"/>
    <x v="3"/>
    <x v="0"/>
    <n v="70"/>
    <n v="84569"/>
    <n v="23"/>
    <n v="55"/>
  </r>
  <r>
    <s v="P211"/>
    <x v="4"/>
    <x v="2"/>
    <x v="1"/>
    <x v="0"/>
    <n v="40"/>
    <n v="124989"/>
    <n v="10"/>
    <n v="50"/>
  </r>
  <r>
    <s v="P212"/>
    <x v="1"/>
    <x v="2"/>
    <x v="3"/>
    <x v="0"/>
    <n v="84"/>
    <n v="99429"/>
    <n v="4"/>
    <n v="71"/>
  </r>
  <r>
    <s v="P213"/>
    <x v="2"/>
    <x v="3"/>
    <x v="2"/>
    <x v="0"/>
    <n v="1"/>
    <n v="52801"/>
    <n v="17"/>
    <n v="90"/>
  </r>
  <r>
    <s v="P214"/>
    <x v="1"/>
    <x v="2"/>
    <x v="2"/>
    <x v="0"/>
    <n v="46"/>
    <n v="51871"/>
    <n v="20"/>
    <n v="82"/>
  </r>
  <r>
    <s v="P215"/>
    <x v="0"/>
    <x v="2"/>
    <x v="4"/>
    <x v="1"/>
    <n v="63"/>
    <n v="110071"/>
    <n v="14"/>
    <n v="55"/>
  </r>
  <r>
    <s v="P216"/>
    <x v="1"/>
    <x v="2"/>
    <x v="3"/>
    <x v="0"/>
    <n v="19"/>
    <n v="192248"/>
    <n v="28"/>
    <n v="90"/>
  </r>
  <r>
    <s v="P217"/>
    <x v="0"/>
    <x v="3"/>
    <x v="0"/>
    <x v="0"/>
    <n v="56"/>
    <n v="33514"/>
    <n v="18"/>
    <n v="68"/>
  </r>
  <r>
    <s v="P218"/>
    <x v="2"/>
    <x v="1"/>
    <x v="4"/>
    <x v="0"/>
    <n v="50"/>
    <n v="130778"/>
    <n v="21"/>
    <n v="91"/>
  </r>
  <r>
    <s v="P219"/>
    <x v="1"/>
    <x v="3"/>
    <x v="2"/>
    <x v="0"/>
    <n v="11"/>
    <n v="179122"/>
    <n v="17"/>
    <n v="84"/>
  </r>
  <r>
    <s v="P220"/>
    <x v="3"/>
    <x v="3"/>
    <x v="3"/>
    <x v="0"/>
    <n v="39"/>
    <n v="86154"/>
    <n v="4"/>
    <n v="69"/>
  </r>
  <r>
    <s v="P221"/>
    <x v="3"/>
    <x v="2"/>
    <x v="3"/>
    <x v="0"/>
    <n v="44"/>
    <n v="39712"/>
    <n v="10"/>
    <n v="55"/>
  </r>
  <r>
    <s v="P222"/>
    <x v="0"/>
    <x v="1"/>
    <x v="2"/>
    <x v="0"/>
    <n v="35"/>
    <n v="51011"/>
    <n v="5"/>
    <n v="64"/>
  </r>
  <r>
    <s v="P223"/>
    <x v="3"/>
    <x v="1"/>
    <x v="4"/>
    <x v="0"/>
    <n v="47"/>
    <n v="49603"/>
    <n v="18"/>
    <n v="83"/>
  </r>
  <r>
    <s v="P224"/>
    <x v="1"/>
    <x v="3"/>
    <x v="4"/>
    <x v="1"/>
    <n v="82"/>
    <n v="22764"/>
    <n v="27"/>
    <n v="50"/>
  </r>
  <r>
    <s v="P225"/>
    <x v="1"/>
    <x v="1"/>
    <x v="0"/>
    <x v="1"/>
    <n v="32"/>
    <n v="84984"/>
    <n v="27"/>
    <n v="50"/>
  </r>
  <r>
    <s v="P226"/>
    <x v="1"/>
    <x v="2"/>
    <x v="1"/>
    <x v="0"/>
    <n v="84"/>
    <n v="101908"/>
    <n v="23"/>
    <n v="52"/>
  </r>
  <r>
    <s v="P227"/>
    <x v="4"/>
    <x v="1"/>
    <x v="0"/>
    <x v="1"/>
    <n v="19"/>
    <n v="70118"/>
    <n v="21"/>
    <n v="56"/>
  </r>
  <r>
    <s v="P228"/>
    <x v="2"/>
    <x v="1"/>
    <x v="3"/>
    <x v="0"/>
    <n v="8"/>
    <n v="194831"/>
    <n v="3"/>
    <n v="89"/>
  </r>
  <r>
    <s v="P229"/>
    <x v="0"/>
    <x v="2"/>
    <x v="1"/>
    <x v="0"/>
    <n v="19"/>
    <n v="170565"/>
    <n v="23"/>
    <n v="78"/>
  </r>
  <r>
    <s v="P230"/>
    <x v="1"/>
    <x v="0"/>
    <x v="4"/>
    <x v="0"/>
    <n v="47"/>
    <n v="19586"/>
    <n v="5"/>
    <n v="54"/>
  </r>
  <r>
    <s v="P231"/>
    <x v="5"/>
    <x v="1"/>
    <x v="3"/>
    <x v="0"/>
    <n v="59"/>
    <n v="108498"/>
    <n v="4"/>
    <n v="52"/>
  </r>
  <r>
    <s v="P232"/>
    <x v="3"/>
    <x v="1"/>
    <x v="1"/>
    <x v="0"/>
    <n v="68"/>
    <n v="46886"/>
    <n v="20"/>
    <n v="54"/>
  </r>
  <r>
    <s v="P233"/>
    <x v="3"/>
    <x v="2"/>
    <x v="3"/>
    <x v="1"/>
    <n v="67"/>
    <n v="143991"/>
    <n v="3"/>
    <n v="58"/>
  </r>
  <r>
    <s v="P234"/>
    <x v="4"/>
    <x v="0"/>
    <x v="0"/>
    <x v="0"/>
    <n v="32"/>
    <n v="189712"/>
    <n v="20"/>
    <n v="80"/>
  </r>
  <r>
    <s v="P235"/>
    <x v="0"/>
    <x v="2"/>
    <x v="4"/>
    <x v="0"/>
    <n v="30"/>
    <n v="134411"/>
    <n v="5"/>
    <n v="72"/>
  </r>
  <r>
    <s v="P236"/>
    <x v="4"/>
    <x v="2"/>
    <x v="4"/>
    <x v="1"/>
    <n v="72"/>
    <n v="107074"/>
    <n v="29"/>
    <n v="84"/>
  </r>
  <r>
    <s v="P237"/>
    <x v="5"/>
    <x v="1"/>
    <x v="4"/>
    <x v="1"/>
    <n v="3"/>
    <n v="27322"/>
    <n v="11"/>
    <n v="91"/>
  </r>
  <r>
    <s v="P238"/>
    <x v="3"/>
    <x v="3"/>
    <x v="0"/>
    <x v="0"/>
    <n v="29"/>
    <n v="22303"/>
    <n v="3"/>
    <n v="51"/>
  </r>
  <r>
    <s v="P239"/>
    <x v="4"/>
    <x v="3"/>
    <x v="3"/>
    <x v="1"/>
    <n v="32"/>
    <n v="97225"/>
    <n v="4"/>
    <n v="90"/>
  </r>
  <r>
    <s v="P240"/>
    <x v="5"/>
    <x v="3"/>
    <x v="2"/>
    <x v="1"/>
    <n v="70"/>
    <n v="126226"/>
    <n v="27"/>
    <n v="89"/>
  </r>
  <r>
    <s v="P241"/>
    <x v="2"/>
    <x v="1"/>
    <x v="4"/>
    <x v="0"/>
    <n v="11"/>
    <n v="106669"/>
    <n v="19"/>
    <n v="68"/>
  </r>
  <r>
    <s v="P242"/>
    <x v="0"/>
    <x v="3"/>
    <x v="0"/>
    <x v="0"/>
    <n v="46"/>
    <n v="168712"/>
    <n v="3"/>
    <n v="60"/>
  </r>
  <r>
    <s v="P243"/>
    <x v="3"/>
    <x v="0"/>
    <x v="4"/>
    <x v="1"/>
    <n v="13"/>
    <n v="66113"/>
    <n v="6"/>
    <n v="94"/>
  </r>
  <r>
    <s v="P244"/>
    <x v="3"/>
    <x v="0"/>
    <x v="3"/>
    <x v="1"/>
    <n v="74"/>
    <n v="86248"/>
    <n v="19"/>
    <n v="77"/>
  </r>
  <r>
    <s v="P245"/>
    <x v="2"/>
    <x v="0"/>
    <x v="2"/>
    <x v="0"/>
    <n v="27"/>
    <n v="97507"/>
    <n v="3"/>
    <n v="59"/>
  </r>
  <r>
    <s v="P246"/>
    <x v="4"/>
    <x v="2"/>
    <x v="4"/>
    <x v="0"/>
    <n v="71"/>
    <n v="197116"/>
    <n v="7"/>
    <n v="89"/>
  </r>
  <r>
    <s v="P247"/>
    <x v="3"/>
    <x v="0"/>
    <x v="2"/>
    <x v="1"/>
    <n v="75"/>
    <n v="131614"/>
    <n v="22"/>
    <n v="87"/>
  </r>
  <r>
    <s v="P248"/>
    <x v="4"/>
    <x v="1"/>
    <x v="4"/>
    <x v="0"/>
    <n v="47"/>
    <n v="91199"/>
    <n v="18"/>
    <n v="86"/>
  </r>
  <r>
    <s v="P249"/>
    <x v="3"/>
    <x v="1"/>
    <x v="0"/>
    <x v="0"/>
    <n v="21"/>
    <n v="94174"/>
    <n v="26"/>
    <n v="53"/>
  </r>
  <r>
    <s v="P250"/>
    <x v="2"/>
    <x v="0"/>
    <x v="4"/>
    <x v="0"/>
    <n v="61"/>
    <n v="122112"/>
    <n v="16"/>
    <n v="81"/>
  </r>
  <r>
    <s v="P251"/>
    <x v="2"/>
    <x v="0"/>
    <x v="2"/>
    <x v="0"/>
    <n v="52"/>
    <n v="89154"/>
    <n v="14"/>
    <n v="77"/>
  </r>
  <r>
    <s v="P252"/>
    <x v="2"/>
    <x v="2"/>
    <x v="0"/>
    <x v="1"/>
    <n v="39"/>
    <n v="87295"/>
    <n v="12"/>
    <n v="64"/>
  </r>
  <r>
    <s v="P253"/>
    <x v="5"/>
    <x v="1"/>
    <x v="0"/>
    <x v="0"/>
    <n v="79"/>
    <n v="123633"/>
    <n v="20"/>
    <n v="73"/>
  </r>
  <r>
    <s v="P254"/>
    <x v="2"/>
    <x v="1"/>
    <x v="2"/>
    <x v="1"/>
    <n v="45"/>
    <n v="196720"/>
    <n v="22"/>
    <n v="68"/>
  </r>
  <r>
    <s v="P255"/>
    <x v="2"/>
    <x v="3"/>
    <x v="4"/>
    <x v="1"/>
    <n v="9"/>
    <n v="164337"/>
    <n v="4"/>
    <n v="90"/>
  </r>
  <r>
    <s v="P256"/>
    <x v="0"/>
    <x v="1"/>
    <x v="2"/>
    <x v="0"/>
    <n v="37"/>
    <n v="44710"/>
    <n v="18"/>
    <n v="56"/>
  </r>
  <r>
    <s v="P257"/>
    <x v="4"/>
    <x v="2"/>
    <x v="2"/>
    <x v="0"/>
    <n v="4"/>
    <n v="147847"/>
    <n v="28"/>
    <n v="64"/>
  </r>
  <r>
    <s v="P258"/>
    <x v="1"/>
    <x v="1"/>
    <x v="2"/>
    <x v="1"/>
    <n v="45"/>
    <n v="130243"/>
    <n v="9"/>
    <n v="86"/>
  </r>
  <r>
    <s v="P259"/>
    <x v="3"/>
    <x v="3"/>
    <x v="3"/>
    <x v="0"/>
    <n v="21"/>
    <n v="131318"/>
    <n v="12"/>
    <n v="89"/>
  </r>
  <r>
    <s v="P260"/>
    <x v="4"/>
    <x v="0"/>
    <x v="4"/>
    <x v="0"/>
    <n v="6"/>
    <n v="89925"/>
    <n v="17"/>
    <n v="62"/>
  </r>
  <r>
    <s v="P261"/>
    <x v="1"/>
    <x v="2"/>
    <x v="2"/>
    <x v="0"/>
    <n v="64"/>
    <n v="43323"/>
    <n v="12"/>
    <n v="66"/>
  </r>
  <r>
    <s v="P262"/>
    <x v="0"/>
    <x v="0"/>
    <x v="0"/>
    <x v="1"/>
    <n v="26"/>
    <n v="152107"/>
    <n v="12"/>
    <n v="75"/>
  </r>
  <r>
    <s v="P263"/>
    <x v="1"/>
    <x v="1"/>
    <x v="0"/>
    <x v="1"/>
    <n v="71"/>
    <n v="24196"/>
    <n v="27"/>
    <n v="75"/>
  </r>
  <r>
    <s v="P264"/>
    <x v="1"/>
    <x v="2"/>
    <x v="0"/>
    <x v="0"/>
    <n v="82"/>
    <n v="79037"/>
    <n v="5"/>
    <n v="79"/>
  </r>
  <r>
    <s v="P265"/>
    <x v="5"/>
    <x v="2"/>
    <x v="1"/>
    <x v="1"/>
    <n v="3"/>
    <n v="22907"/>
    <n v="15"/>
    <n v="68"/>
  </r>
  <r>
    <s v="P266"/>
    <x v="3"/>
    <x v="1"/>
    <x v="1"/>
    <x v="0"/>
    <n v="41"/>
    <n v="26804"/>
    <n v="9"/>
    <n v="89"/>
  </r>
  <r>
    <s v="P267"/>
    <x v="4"/>
    <x v="2"/>
    <x v="2"/>
    <x v="0"/>
    <n v="71"/>
    <n v="102097"/>
    <n v="24"/>
    <n v="75"/>
  </r>
  <r>
    <s v="P268"/>
    <x v="0"/>
    <x v="1"/>
    <x v="4"/>
    <x v="0"/>
    <n v="68"/>
    <n v="197905"/>
    <n v="6"/>
    <n v="86"/>
  </r>
  <r>
    <s v="P269"/>
    <x v="3"/>
    <x v="0"/>
    <x v="1"/>
    <x v="0"/>
    <n v="72"/>
    <n v="73172"/>
    <n v="28"/>
    <n v="75"/>
  </r>
  <r>
    <s v="P270"/>
    <x v="3"/>
    <x v="3"/>
    <x v="1"/>
    <x v="1"/>
    <n v="56"/>
    <n v="102203"/>
    <n v="12"/>
    <n v="53"/>
  </r>
  <r>
    <s v="P271"/>
    <x v="4"/>
    <x v="0"/>
    <x v="1"/>
    <x v="1"/>
    <n v="64"/>
    <n v="171129"/>
    <n v="6"/>
    <n v="67"/>
  </r>
  <r>
    <s v="P272"/>
    <x v="3"/>
    <x v="2"/>
    <x v="0"/>
    <x v="0"/>
    <n v="48"/>
    <n v="79889"/>
    <n v="22"/>
    <n v="73"/>
  </r>
  <r>
    <s v="P273"/>
    <x v="2"/>
    <x v="3"/>
    <x v="2"/>
    <x v="1"/>
    <n v="64"/>
    <n v="49311"/>
    <n v="30"/>
    <n v="86"/>
  </r>
  <r>
    <s v="P274"/>
    <x v="4"/>
    <x v="1"/>
    <x v="3"/>
    <x v="2"/>
    <n v="78"/>
    <n v="52130"/>
    <n v="17"/>
    <n v="53"/>
  </r>
  <r>
    <s v="P275"/>
    <x v="4"/>
    <x v="2"/>
    <x v="3"/>
    <x v="0"/>
    <n v="58"/>
    <n v="189802"/>
    <n v="11"/>
    <n v="86"/>
  </r>
  <r>
    <s v="P276"/>
    <x v="5"/>
    <x v="2"/>
    <x v="3"/>
    <x v="1"/>
    <n v="33"/>
    <n v="48208"/>
    <n v="22"/>
    <n v="85"/>
  </r>
  <r>
    <s v="P277"/>
    <x v="1"/>
    <x v="3"/>
    <x v="4"/>
    <x v="0"/>
    <n v="79"/>
    <n v="61949"/>
    <n v="24"/>
    <n v="64"/>
  </r>
  <r>
    <s v="P278"/>
    <x v="3"/>
    <x v="1"/>
    <x v="0"/>
    <x v="1"/>
    <n v="45"/>
    <n v="144042"/>
    <n v="10"/>
    <n v="55"/>
  </r>
  <r>
    <s v="P279"/>
    <x v="3"/>
    <x v="3"/>
    <x v="4"/>
    <x v="0"/>
    <n v="71"/>
    <n v="147012"/>
    <n v="25"/>
    <n v="62"/>
  </r>
  <r>
    <s v="P280"/>
    <x v="1"/>
    <x v="2"/>
    <x v="4"/>
    <x v="1"/>
    <n v="48"/>
    <n v="151193"/>
    <n v="12"/>
    <n v="63"/>
  </r>
  <r>
    <s v="P281"/>
    <x v="4"/>
    <x v="2"/>
    <x v="4"/>
    <x v="1"/>
    <n v="77"/>
    <n v="117921"/>
    <n v="11"/>
    <n v="84"/>
  </r>
  <r>
    <s v="P282"/>
    <x v="4"/>
    <x v="1"/>
    <x v="2"/>
    <x v="0"/>
    <n v="61"/>
    <n v="147584"/>
    <n v="12"/>
    <n v="83"/>
  </r>
  <r>
    <s v="P283"/>
    <x v="2"/>
    <x v="0"/>
    <x v="3"/>
    <x v="1"/>
    <n v="1"/>
    <n v="16596"/>
    <n v="20"/>
    <n v="76"/>
  </r>
  <r>
    <s v="P284"/>
    <x v="4"/>
    <x v="1"/>
    <x v="3"/>
    <x v="0"/>
    <n v="48"/>
    <n v="80746"/>
    <n v="21"/>
    <n v="90"/>
  </r>
  <r>
    <s v="P285"/>
    <x v="5"/>
    <x v="2"/>
    <x v="2"/>
    <x v="0"/>
    <n v="70"/>
    <n v="95531"/>
    <n v="22"/>
    <n v="60"/>
  </r>
  <r>
    <s v="P286"/>
    <x v="0"/>
    <x v="1"/>
    <x v="4"/>
    <x v="0"/>
    <n v="41"/>
    <n v="173028"/>
    <n v="10"/>
    <n v="52"/>
  </r>
  <r>
    <s v="P287"/>
    <x v="4"/>
    <x v="3"/>
    <x v="0"/>
    <x v="1"/>
    <n v="80"/>
    <n v="59942"/>
    <n v="11"/>
    <n v="60"/>
  </r>
  <r>
    <s v="P288"/>
    <x v="1"/>
    <x v="3"/>
    <x v="4"/>
    <x v="0"/>
    <n v="85"/>
    <n v="179863"/>
    <n v="24"/>
    <n v="86"/>
  </r>
  <r>
    <s v="P289"/>
    <x v="5"/>
    <x v="3"/>
    <x v="0"/>
    <x v="0"/>
    <n v="33"/>
    <n v="74137"/>
    <n v="11"/>
    <n v="78"/>
  </r>
  <r>
    <s v="P290"/>
    <x v="4"/>
    <x v="3"/>
    <x v="0"/>
    <x v="1"/>
    <n v="8"/>
    <n v="86710"/>
    <n v="6"/>
    <n v="83"/>
  </r>
  <r>
    <s v="P291"/>
    <x v="1"/>
    <x v="3"/>
    <x v="4"/>
    <x v="1"/>
    <n v="21"/>
    <n v="139631"/>
    <n v="24"/>
    <n v="66"/>
  </r>
  <r>
    <s v="P292"/>
    <x v="2"/>
    <x v="0"/>
    <x v="4"/>
    <x v="1"/>
    <n v="33"/>
    <n v="181989"/>
    <n v="16"/>
    <n v="66"/>
  </r>
  <r>
    <s v="P293"/>
    <x v="5"/>
    <x v="2"/>
    <x v="0"/>
    <x v="1"/>
    <n v="5"/>
    <n v="196340"/>
    <n v="8"/>
    <n v="76"/>
  </r>
  <r>
    <s v="P294"/>
    <x v="2"/>
    <x v="2"/>
    <x v="0"/>
    <x v="1"/>
    <n v="53"/>
    <n v="166526"/>
    <n v="28"/>
    <n v="95"/>
  </r>
  <r>
    <s v="P295"/>
    <x v="4"/>
    <x v="3"/>
    <x v="1"/>
    <x v="0"/>
    <n v="78"/>
    <n v="46193"/>
    <n v="6"/>
    <n v="93"/>
  </r>
  <r>
    <s v="P296"/>
    <x v="3"/>
    <x v="3"/>
    <x v="2"/>
    <x v="1"/>
    <n v="16"/>
    <n v="50419"/>
    <n v="7"/>
    <n v="89"/>
  </r>
  <r>
    <s v="P297"/>
    <x v="4"/>
    <x v="3"/>
    <x v="0"/>
    <x v="1"/>
    <n v="74"/>
    <n v="31182"/>
    <n v="18"/>
    <n v="83"/>
  </r>
  <r>
    <s v="P298"/>
    <x v="1"/>
    <x v="2"/>
    <x v="3"/>
    <x v="1"/>
    <n v="64"/>
    <n v="60013"/>
    <n v="7"/>
    <n v="74"/>
  </r>
  <r>
    <s v="P299"/>
    <x v="4"/>
    <x v="1"/>
    <x v="0"/>
    <x v="0"/>
    <n v="59"/>
    <n v="160276"/>
    <n v="18"/>
    <n v="75"/>
  </r>
  <r>
    <s v="P300"/>
    <x v="4"/>
    <x v="1"/>
    <x v="1"/>
    <x v="0"/>
    <n v="33"/>
    <n v="28980"/>
    <n v="16"/>
    <n v="75"/>
  </r>
  <r>
    <s v="P301"/>
    <x v="5"/>
    <x v="2"/>
    <x v="2"/>
    <x v="1"/>
    <n v="32"/>
    <n v="77683"/>
    <n v="6"/>
    <n v="50"/>
  </r>
  <r>
    <s v="P302"/>
    <x v="3"/>
    <x v="1"/>
    <x v="0"/>
    <x v="1"/>
    <n v="76"/>
    <n v="51359"/>
    <n v="30"/>
    <n v="52"/>
  </r>
  <r>
    <s v="P303"/>
    <x v="0"/>
    <x v="0"/>
    <x v="1"/>
    <x v="0"/>
    <n v="23"/>
    <n v="78579"/>
    <n v="20"/>
    <n v="67"/>
  </r>
  <r>
    <s v="P304"/>
    <x v="0"/>
    <x v="2"/>
    <x v="3"/>
    <x v="1"/>
    <n v="81"/>
    <n v="90520"/>
    <n v="15"/>
    <n v="92"/>
  </r>
  <r>
    <s v="P305"/>
    <x v="4"/>
    <x v="1"/>
    <x v="4"/>
    <x v="1"/>
    <n v="24"/>
    <n v="131871"/>
    <n v="6"/>
    <n v="92"/>
  </r>
  <r>
    <s v="P306"/>
    <x v="4"/>
    <x v="2"/>
    <x v="3"/>
    <x v="0"/>
    <n v="64"/>
    <n v="85240"/>
    <n v="5"/>
    <n v="75"/>
  </r>
  <r>
    <s v="P307"/>
    <x v="0"/>
    <x v="2"/>
    <x v="0"/>
    <x v="0"/>
    <n v="23"/>
    <n v="31257"/>
    <n v="6"/>
    <n v="65"/>
  </r>
  <r>
    <s v="P308"/>
    <x v="1"/>
    <x v="1"/>
    <x v="3"/>
    <x v="1"/>
    <n v="9"/>
    <n v="35764"/>
    <n v="8"/>
    <n v="94"/>
  </r>
  <r>
    <s v="P309"/>
    <x v="5"/>
    <x v="1"/>
    <x v="0"/>
    <x v="0"/>
    <n v="19"/>
    <n v="80727"/>
    <n v="10"/>
    <n v="92"/>
  </r>
  <r>
    <s v="P310"/>
    <x v="4"/>
    <x v="1"/>
    <x v="2"/>
    <x v="0"/>
    <n v="40"/>
    <n v="195050"/>
    <n v="12"/>
    <n v="89"/>
  </r>
  <r>
    <s v="P311"/>
    <x v="1"/>
    <x v="1"/>
    <x v="1"/>
    <x v="1"/>
    <n v="85"/>
    <n v="112607"/>
    <n v="25"/>
    <n v="85"/>
  </r>
  <r>
    <s v="P312"/>
    <x v="2"/>
    <x v="2"/>
    <x v="0"/>
    <x v="0"/>
    <n v="3"/>
    <n v="47718"/>
    <n v="19"/>
    <n v="53"/>
  </r>
  <r>
    <s v="P313"/>
    <x v="3"/>
    <x v="0"/>
    <x v="4"/>
    <x v="0"/>
    <n v="49"/>
    <n v="106056"/>
    <n v="19"/>
    <n v="57"/>
  </r>
  <r>
    <s v="P314"/>
    <x v="3"/>
    <x v="2"/>
    <x v="3"/>
    <x v="0"/>
    <n v="69"/>
    <n v="40213"/>
    <n v="24"/>
    <n v="72"/>
  </r>
  <r>
    <s v="P315"/>
    <x v="4"/>
    <x v="1"/>
    <x v="2"/>
    <x v="1"/>
    <n v="70"/>
    <n v="146411"/>
    <n v="27"/>
    <n v="82"/>
  </r>
  <r>
    <s v="P316"/>
    <x v="3"/>
    <x v="1"/>
    <x v="3"/>
    <x v="1"/>
    <n v="20"/>
    <n v="26271"/>
    <n v="18"/>
    <n v="72"/>
  </r>
  <r>
    <s v="P317"/>
    <x v="3"/>
    <x v="3"/>
    <x v="4"/>
    <x v="0"/>
    <n v="3"/>
    <n v="162199"/>
    <n v="15"/>
    <n v="66"/>
  </r>
  <r>
    <s v="P318"/>
    <x v="3"/>
    <x v="3"/>
    <x v="1"/>
    <x v="0"/>
    <n v="62"/>
    <n v="48531"/>
    <n v="15"/>
    <n v="83"/>
  </r>
  <r>
    <s v="P319"/>
    <x v="5"/>
    <x v="3"/>
    <x v="4"/>
    <x v="2"/>
    <n v="12"/>
    <n v="128536"/>
    <n v="10"/>
    <n v="93"/>
  </r>
  <r>
    <s v="P320"/>
    <x v="4"/>
    <x v="1"/>
    <x v="0"/>
    <x v="1"/>
    <n v="58"/>
    <n v="177455"/>
    <n v="25"/>
    <n v="62"/>
  </r>
  <r>
    <s v="P321"/>
    <x v="2"/>
    <x v="3"/>
    <x v="1"/>
    <x v="1"/>
    <n v="31"/>
    <n v="157570"/>
    <n v="7"/>
    <n v="60"/>
  </r>
  <r>
    <s v="P322"/>
    <x v="3"/>
    <x v="2"/>
    <x v="3"/>
    <x v="0"/>
    <n v="53"/>
    <n v="86882"/>
    <n v="7"/>
    <n v="73"/>
  </r>
  <r>
    <s v="P323"/>
    <x v="0"/>
    <x v="3"/>
    <x v="4"/>
    <x v="1"/>
    <n v="2"/>
    <n v="191016"/>
    <n v="17"/>
    <n v="55"/>
  </r>
  <r>
    <s v="P324"/>
    <x v="4"/>
    <x v="1"/>
    <x v="3"/>
    <x v="1"/>
    <n v="17"/>
    <n v="46050"/>
    <n v="11"/>
    <n v="86"/>
  </r>
  <r>
    <s v="P325"/>
    <x v="5"/>
    <x v="2"/>
    <x v="0"/>
    <x v="1"/>
    <n v="2"/>
    <n v="99522"/>
    <n v="21"/>
    <n v="68"/>
  </r>
  <r>
    <s v="P326"/>
    <x v="3"/>
    <x v="0"/>
    <x v="0"/>
    <x v="0"/>
    <n v="44"/>
    <n v="24046"/>
    <n v="11"/>
    <n v="68"/>
  </r>
  <r>
    <s v="P327"/>
    <x v="0"/>
    <x v="3"/>
    <x v="1"/>
    <x v="0"/>
    <n v="24"/>
    <n v="64542"/>
    <n v="7"/>
    <n v="85"/>
  </r>
  <r>
    <s v="P328"/>
    <x v="1"/>
    <x v="0"/>
    <x v="0"/>
    <x v="2"/>
    <n v="36"/>
    <n v="135054"/>
    <n v="20"/>
    <n v="52"/>
  </r>
  <r>
    <s v="P329"/>
    <x v="1"/>
    <x v="1"/>
    <x v="2"/>
    <x v="1"/>
    <n v="55"/>
    <n v="15590"/>
    <n v="27"/>
    <n v="82"/>
  </r>
  <r>
    <s v="P330"/>
    <x v="0"/>
    <x v="3"/>
    <x v="3"/>
    <x v="1"/>
    <n v="43"/>
    <n v="188425"/>
    <n v="26"/>
    <n v="88"/>
  </r>
  <r>
    <s v="P331"/>
    <x v="2"/>
    <x v="2"/>
    <x v="4"/>
    <x v="1"/>
    <n v="77"/>
    <n v="104037"/>
    <n v="11"/>
    <n v="67"/>
  </r>
  <r>
    <s v="P332"/>
    <x v="2"/>
    <x v="1"/>
    <x v="2"/>
    <x v="0"/>
    <n v="85"/>
    <n v="167322"/>
    <n v="19"/>
    <n v="81"/>
  </r>
  <r>
    <s v="P333"/>
    <x v="2"/>
    <x v="1"/>
    <x v="3"/>
    <x v="1"/>
    <n v="11"/>
    <n v="112393"/>
    <n v="6"/>
    <n v="61"/>
  </r>
  <r>
    <s v="P334"/>
    <x v="1"/>
    <x v="0"/>
    <x v="2"/>
    <x v="0"/>
    <n v="67"/>
    <n v="184096"/>
    <n v="21"/>
    <n v="69"/>
  </r>
  <r>
    <s v="P335"/>
    <x v="0"/>
    <x v="1"/>
    <x v="1"/>
    <x v="0"/>
    <n v="62"/>
    <n v="190730"/>
    <n v="21"/>
    <n v="86"/>
  </r>
  <r>
    <s v="P336"/>
    <x v="5"/>
    <x v="1"/>
    <x v="3"/>
    <x v="0"/>
    <n v="56"/>
    <n v="25263"/>
    <n v="26"/>
    <n v="65"/>
  </r>
  <r>
    <s v="P337"/>
    <x v="0"/>
    <x v="0"/>
    <x v="0"/>
    <x v="0"/>
    <n v="19"/>
    <n v="187719"/>
    <n v="9"/>
    <n v="84"/>
  </r>
  <r>
    <s v="P338"/>
    <x v="4"/>
    <x v="0"/>
    <x v="4"/>
    <x v="1"/>
    <n v="56"/>
    <n v="181256"/>
    <n v="30"/>
    <n v="83"/>
  </r>
  <r>
    <s v="P339"/>
    <x v="3"/>
    <x v="1"/>
    <x v="3"/>
    <x v="1"/>
    <n v="47"/>
    <n v="57246"/>
    <n v="10"/>
    <n v="70"/>
  </r>
  <r>
    <s v="P340"/>
    <x v="4"/>
    <x v="0"/>
    <x v="4"/>
    <x v="1"/>
    <n v="82"/>
    <n v="52888"/>
    <n v="17"/>
    <n v="65"/>
  </r>
  <r>
    <s v="P341"/>
    <x v="0"/>
    <x v="1"/>
    <x v="3"/>
    <x v="1"/>
    <n v="23"/>
    <n v="193694"/>
    <n v="20"/>
    <n v="75"/>
  </r>
  <r>
    <s v="P342"/>
    <x v="0"/>
    <x v="2"/>
    <x v="3"/>
    <x v="0"/>
    <n v="1"/>
    <n v="21928"/>
    <n v="6"/>
    <n v="91"/>
  </r>
  <r>
    <s v="P343"/>
    <x v="3"/>
    <x v="3"/>
    <x v="2"/>
    <x v="1"/>
    <n v="85"/>
    <n v="119629"/>
    <n v="9"/>
    <n v="78"/>
  </r>
  <r>
    <s v="P344"/>
    <x v="5"/>
    <x v="3"/>
    <x v="0"/>
    <x v="0"/>
    <n v="15"/>
    <n v="81778"/>
    <n v="8"/>
    <n v="66"/>
  </r>
  <r>
    <s v="P345"/>
    <x v="4"/>
    <x v="0"/>
    <x v="2"/>
    <x v="2"/>
    <n v="61"/>
    <n v="26556"/>
    <n v="12"/>
    <n v="54"/>
  </r>
  <r>
    <s v="P346"/>
    <x v="5"/>
    <x v="2"/>
    <x v="3"/>
    <x v="1"/>
    <n v="48"/>
    <n v="157592"/>
    <n v="20"/>
    <n v="74"/>
  </r>
  <r>
    <s v="P347"/>
    <x v="4"/>
    <x v="3"/>
    <x v="3"/>
    <x v="0"/>
    <n v="24"/>
    <n v="181531"/>
    <n v="6"/>
    <n v="67"/>
  </r>
  <r>
    <s v="P348"/>
    <x v="3"/>
    <x v="0"/>
    <x v="3"/>
    <x v="0"/>
    <n v="37"/>
    <n v="58766"/>
    <n v="13"/>
    <n v="69"/>
  </r>
  <r>
    <s v="P349"/>
    <x v="2"/>
    <x v="1"/>
    <x v="0"/>
    <x v="0"/>
    <n v="26"/>
    <n v="19771"/>
    <n v="28"/>
    <n v="61"/>
  </r>
  <r>
    <s v="P350"/>
    <x v="0"/>
    <x v="1"/>
    <x v="3"/>
    <x v="0"/>
    <n v="22"/>
    <n v="47326"/>
    <n v="19"/>
    <n v="86"/>
  </r>
  <r>
    <s v="P351"/>
    <x v="0"/>
    <x v="0"/>
    <x v="0"/>
    <x v="0"/>
    <n v="43"/>
    <n v="152821"/>
    <n v="9"/>
    <n v="65"/>
  </r>
  <r>
    <s v="P352"/>
    <x v="1"/>
    <x v="0"/>
    <x v="1"/>
    <x v="0"/>
    <n v="10"/>
    <n v="149923"/>
    <n v="17"/>
    <n v="58"/>
  </r>
  <r>
    <s v="P353"/>
    <x v="3"/>
    <x v="1"/>
    <x v="4"/>
    <x v="0"/>
    <n v="59"/>
    <n v="134074"/>
    <n v="18"/>
    <n v="91"/>
  </r>
  <r>
    <s v="P354"/>
    <x v="0"/>
    <x v="3"/>
    <x v="2"/>
    <x v="1"/>
    <n v="35"/>
    <n v="159259"/>
    <n v="8"/>
    <n v="69"/>
  </r>
  <r>
    <s v="P355"/>
    <x v="4"/>
    <x v="1"/>
    <x v="1"/>
    <x v="1"/>
    <n v="14"/>
    <n v="181933"/>
    <n v="9"/>
    <n v="74"/>
  </r>
  <r>
    <s v="P356"/>
    <x v="1"/>
    <x v="3"/>
    <x v="4"/>
    <x v="0"/>
    <n v="46"/>
    <n v="156183"/>
    <n v="14"/>
    <n v="54"/>
  </r>
  <r>
    <s v="P357"/>
    <x v="5"/>
    <x v="2"/>
    <x v="1"/>
    <x v="0"/>
    <n v="29"/>
    <n v="23318"/>
    <n v="23"/>
    <n v="94"/>
  </r>
  <r>
    <s v="P358"/>
    <x v="5"/>
    <x v="1"/>
    <x v="2"/>
    <x v="0"/>
    <n v="65"/>
    <n v="153155"/>
    <n v="26"/>
    <n v="74"/>
  </r>
  <r>
    <s v="P359"/>
    <x v="0"/>
    <x v="2"/>
    <x v="3"/>
    <x v="1"/>
    <n v="58"/>
    <n v="106069"/>
    <n v="25"/>
    <n v="54"/>
  </r>
  <r>
    <s v="P360"/>
    <x v="5"/>
    <x v="1"/>
    <x v="0"/>
    <x v="1"/>
    <n v="14"/>
    <n v="181631"/>
    <n v="9"/>
    <n v="90"/>
  </r>
  <r>
    <s v="P361"/>
    <x v="3"/>
    <x v="3"/>
    <x v="0"/>
    <x v="1"/>
    <n v="16"/>
    <n v="61847"/>
    <n v="24"/>
    <n v="60"/>
  </r>
  <r>
    <s v="P362"/>
    <x v="5"/>
    <x v="0"/>
    <x v="4"/>
    <x v="1"/>
    <n v="50"/>
    <n v="87560"/>
    <n v="17"/>
    <n v="69"/>
  </r>
  <r>
    <s v="P363"/>
    <x v="5"/>
    <x v="0"/>
    <x v="3"/>
    <x v="1"/>
    <n v="5"/>
    <n v="144599"/>
    <n v="5"/>
    <n v="94"/>
  </r>
  <r>
    <s v="P364"/>
    <x v="4"/>
    <x v="0"/>
    <x v="3"/>
    <x v="0"/>
    <n v="54"/>
    <n v="79495"/>
    <n v="6"/>
    <n v="80"/>
  </r>
  <r>
    <s v="P365"/>
    <x v="2"/>
    <x v="3"/>
    <x v="2"/>
    <x v="1"/>
    <n v="80"/>
    <n v="169243"/>
    <n v="9"/>
    <n v="78"/>
  </r>
  <r>
    <s v="P366"/>
    <x v="3"/>
    <x v="3"/>
    <x v="2"/>
    <x v="0"/>
    <n v="64"/>
    <n v="149582"/>
    <n v="22"/>
    <n v="70"/>
  </r>
  <r>
    <s v="P367"/>
    <x v="0"/>
    <x v="2"/>
    <x v="0"/>
    <x v="0"/>
    <n v="60"/>
    <n v="191088"/>
    <n v="17"/>
    <n v="85"/>
  </r>
  <r>
    <s v="P368"/>
    <x v="0"/>
    <x v="1"/>
    <x v="4"/>
    <x v="0"/>
    <n v="85"/>
    <n v="41379"/>
    <n v="3"/>
    <n v="93"/>
  </r>
  <r>
    <s v="P369"/>
    <x v="2"/>
    <x v="0"/>
    <x v="4"/>
    <x v="1"/>
    <n v="48"/>
    <n v="23602"/>
    <n v="21"/>
    <n v="89"/>
  </r>
  <r>
    <s v="P370"/>
    <x v="1"/>
    <x v="0"/>
    <x v="2"/>
    <x v="1"/>
    <n v="57"/>
    <n v="67873"/>
    <n v="26"/>
    <n v="60"/>
  </r>
  <r>
    <s v="P371"/>
    <x v="2"/>
    <x v="3"/>
    <x v="3"/>
    <x v="1"/>
    <n v="49"/>
    <n v="76814"/>
    <n v="30"/>
    <n v="68"/>
  </r>
  <r>
    <s v="P372"/>
    <x v="0"/>
    <x v="2"/>
    <x v="2"/>
    <x v="1"/>
    <n v="30"/>
    <n v="131142"/>
    <n v="6"/>
    <n v="58"/>
  </r>
  <r>
    <s v="P373"/>
    <x v="4"/>
    <x v="3"/>
    <x v="1"/>
    <x v="0"/>
    <n v="67"/>
    <n v="33841"/>
    <n v="18"/>
    <n v="93"/>
  </r>
  <r>
    <s v="P374"/>
    <x v="5"/>
    <x v="2"/>
    <x v="0"/>
    <x v="1"/>
    <n v="50"/>
    <n v="67378"/>
    <n v="24"/>
    <n v="83"/>
  </r>
  <r>
    <s v="P375"/>
    <x v="4"/>
    <x v="2"/>
    <x v="4"/>
    <x v="0"/>
    <n v="49"/>
    <n v="94732"/>
    <n v="25"/>
    <n v="86"/>
  </r>
  <r>
    <s v="P376"/>
    <x v="4"/>
    <x v="1"/>
    <x v="2"/>
    <x v="1"/>
    <n v="77"/>
    <n v="76004"/>
    <n v="5"/>
    <n v="79"/>
  </r>
  <r>
    <s v="P377"/>
    <x v="3"/>
    <x v="1"/>
    <x v="3"/>
    <x v="1"/>
    <n v="45"/>
    <n v="32654"/>
    <n v="21"/>
    <n v="61"/>
  </r>
  <r>
    <s v="P378"/>
    <x v="4"/>
    <x v="1"/>
    <x v="1"/>
    <x v="1"/>
    <n v="58"/>
    <n v="175689"/>
    <n v="8"/>
    <n v="51"/>
  </r>
  <r>
    <s v="P379"/>
    <x v="0"/>
    <x v="0"/>
    <x v="3"/>
    <x v="1"/>
    <n v="29"/>
    <n v="81297"/>
    <n v="19"/>
    <n v="67"/>
  </r>
  <r>
    <s v="P380"/>
    <x v="2"/>
    <x v="2"/>
    <x v="2"/>
    <x v="0"/>
    <n v="66"/>
    <n v="139488"/>
    <n v="29"/>
    <n v="79"/>
  </r>
  <r>
    <s v="P381"/>
    <x v="1"/>
    <x v="0"/>
    <x v="4"/>
    <x v="1"/>
    <n v="63"/>
    <n v="156933"/>
    <n v="9"/>
    <n v="64"/>
  </r>
  <r>
    <s v="P382"/>
    <x v="4"/>
    <x v="2"/>
    <x v="2"/>
    <x v="1"/>
    <n v="32"/>
    <n v="90006"/>
    <n v="21"/>
    <n v="79"/>
  </r>
  <r>
    <s v="P383"/>
    <x v="1"/>
    <x v="0"/>
    <x v="4"/>
    <x v="0"/>
    <n v="79"/>
    <n v="156222"/>
    <n v="10"/>
    <n v="58"/>
  </r>
  <r>
    <s v="P384"/>
    <x v="2"/>
    <x v="3"/>
    <x v="4"/>
    <x v="1"/>
    <n v="43"/>
    <n v="100958"/>
    <n v="4"/>
    <n v="88"/>
  </r>
  <r>
    <s v="P385"/>
    <x v="2"/>
    <x v="1"/>
    <x v="3"/>
    <x v="1"/>
    <n v="83"/>
    <n v="120134"/>
    <n v="21"/>
    <n v="93"/>
  </r>
  <r>
    <s v="P386"/>
    <x v="2"/>
    <x v="0"/>
    <x v="3"/>
    <x v="0"/>
    <n v="76"/>
    <n v="140622"/>
    <n v="11"/>
    <n v="79"/>
  </r>
  <r>
    <s v="P387"/>
    <x v="4"/>
    <x v="0"/>
    <x v="2"/>
    <x v="0"/>
    <n v="54"/>
    <n v="97246"/>
    <n v="8"/>
    <n v="55"/>
  </r>
  <r>
    <s v="P388"/>
    <x v="5"/>
    <x v="0"/>
    <x v="3"/>
    <x v="1"/>
    <n v="57"/>
    <n v="27151"/>
    <n v="16"/>
    <n v="52"/>
  </r>
  <r>
    <s v="P389"/>
    <x v="0"/>
    <x v="1"/>
    <x v="4"/>
    <x v="1"/>
    <n v="26"/>
    <n v="67948"/>
    <n v="13"/>
    <n v="50"/>
  </r>
  <r>
    <s v="P390"/>
    <x v="4"/>
    <x v="3"/>
    <x v="4"/>
    <x v="1"/>
    <n v="60"/>
    <n v="188150"/>
    <n v="18"/>
    <n v="87"/>
  </r>
  <r>
    <s v="P391"/>
    <x v="0"/>
    <x v="2"/>
    <x v="2"/>
    <x v="1"/>
    <n v="20"/>
    <n v="47930"/>
    <n v="22"/>
    <n v="58"/>
  </r>
  <r>
    <s v="P392"/>
    <x v="5"/>
    <x v="1"/>
    <x v="3"/>
    <x v="0"/>
    <n v="50"/>
    <n v="128001"/>
    <n v="29"/>
    <n v="80"/>
  </r>
  <r>
    <s v="P393"/>
    <x v="5"/>
    <x v="0"/>
    <x v="1"/>
    <x v="1"/>
    <n v="60"/>
    <n v="136739"/>
    <n v="5"/>
    <n v="81"/>
  </r>
  <r>
    <s v="P394"/>
    <x v="5"/>
    <x v="2"/>
    <x v="0"/>
    <x v="0"/>
    <n v="20"/>
    <n v="148473"/>
    <n v="9"/>
    <n v="94"/>
  </r>
  <r>
    <s v="P395"/>
    <x v="1"/>
    <x v="1"/>
    <x v="2"/>
    <x v="1"/>
    <n v="48"/>
    <n v="102470"/>
    <n v="9"/>
    <n v="86"/>
  </r>
  <r>
    <s v="P396"/>
    <x v="0"/>
    <x v="3"/>
    <x v="0"/>
    <x v="1"/>
    <n v="81"/>
    <n v="83830"/>
    <n v="28"/>
    <n v="60"/>
  </r>
  <r>
    <s v="P397"/>
    <x v="0"/>
    <x v="3"/>
    <x v="0"/>
    <x v="0"/>
    <n v="31"/>
    <n v="83260"/>
    <n v="19"/>
    <n v="63"/>
  </r>
  <r>
    <s v="P398"/>
    <x v="5"/>
    <x v="3"/>
    <x v="2"/>
    <x v="0"/>
    <n v="70"/>
    <n v="196005"/>
    <n v="4"/>
    <n v="77"/>
  </r>
  <r>
    <s v="P399"/>
    <x v="0"/>
    <x v="2"/>
    <x v="1"/>
    <x v="1"/>
    <n v="9"/>
    <n v="61841"/>
    <n v="3"/>
    <n v="85"/>
  </r>
  <r>
    <s v="P400"/>
    <x v="4"/>
    <x v="2"/>
    <x v="3"/>
    <x v="0"/>
    <n v="36"/>
    <n v="97651"/>
    <n v="22"/>
    <n v="84"/>
  </r>
  <r>
    <s v="P401"/>
    <x v="2"/>
    <x v="2"/>
    <x v="1"/>
    <x v="0"/>
    <n v="84"/>
    <n v="144520"/>
    <n v="3"/>
    <n v="95"/>
  </r>
  <r>
    <s v="P402"/>
    <x v="5"/>
    <x v="3"/>
    <x v="1"/>
    <x v="1"/>
    <n v="39"/>
    <n v="97644"/>
    <n v="17"/>
    <n v="56"/>
  </r>
  <r>
    <s v="P403"/>
    <x v="2"/>
    <x v="3"/>
    <x v="1"/>
    <x v="0"/>
    <n v="33"/>
    <n v="19450"/>
    <n v="6"/>
    <n v="95"/>
  </r>
  <r>
    <s v="P404"/>
    <x v="4"/>
    <x v="1"/>
    <x v="2"/>
    <x v="0"/>
    <n v="79"/>
    <n v="120074"/>
    <n v="9"/>
    <n v="54"/>
  </r>
  <r>
    <s v="P405"/>
    <x v="2"/>
    <x v="3"/>
    <x v="0"/>
    <x v="1"/>
    <n v="12"/>
    <n v="149639"/>
    <n v="8"/>
    <n v="88"/>
  </r>
  <r>
    <s v="P406"/>
    <x v="2"/>
    <x v="2"/>
    <x v="2"/>
    <x v="1"/>
    <n v="2"/>
    <n v="59583"/>
    <n v="30"/>
    <n v="88"/>
  </r>
  <r>
    <s v="P407"/>
    <x v="4"/>
    <x v="3"/>
    <x v="3"/>
    <x v="0"/>
    <n v="43"/>
    <n v="146936"/>
    <n v="9"/>
    <n v="77"/>
  </r>
  <r>
    <s v="P408"/>
    <x v="1"/>
    <x v="0"/>
    <x v="0"/>
    <x v="1"/>
    <n v="42"/>
    <n v="135598"/>
    <n v="15"/>
    <n v="57"/>
  </r>
  <r>
    <s v="P409"/>
    <x v="2"/>
    <x v="1"/>
    <x v="2"/>
    <x v="1"/>
    <n v="21"/>
    <n v="199301"/>
    <n v="28"/>
    <n v="82"/>
  </r>
  <r>
    <s v="P410"/>
    <x v="1"/>
    <x v="2"/>
    <x v="0"/>
    <x v="0"/>
    <n v="65"/>
    <n v="118731"/>
    <n v="19"/>
    <n v="61"/>
  </r>
  <r>
    <s v="P411"/>
    <x v="1"/>
    <x v="1"/>
    <x v="3"/>
    <x v="1"/>
    <n v="75"/>
    <n v="86217"/>
    <n v="24"/>
    <n v="72"/>
  </r>
  <r>
    <s v="P412"/>
    <x v="2"/>
    <x v="0"/>
    <x v="2"/>
    <x v="0"/>
    <n v="61"/>
    <n v="128287"/>
    <n v="10"/>
    <n v="78"/>
  </r>
  <r>
    <s v="P413"/>
    <x v="4"/>
    <x v="1"/>
    <x v="1"/>
    <x v="1"/>
    <n v="66"/>
    <n v="33292"/>
    <n v="24"/>
    <n v="60"/>
  </r>
  <r>
    <s v="P414"/>
    <x v="0"/>
    <x v="2"/>
    <x v="1"/>
    <x v="0"/>
    <n v="31"/>
    <n v="147520"/>
    <n v="18"/>
    <n v="64"/>
  </r>
  <r>
    <s v="P415"/>
    <x v="3"/>
    <x v="2"/>
    <x v="1"/>
    <x v="1"/>
    <n v="17"/>
    <n v="133252"/>
    <n v="8"/>
    <n v="82"/>
  </r>
  <r>
    <s v="P416"/>
    <x v="4"/>
    <x v="0"/>
    <x v="2"/>
    <x v="0"/>
    <n v="32"/>
    <n v="80181"/>
    <n v="12"/>
    <n v="60"/>
  </r>
  <r>
    <s v="P417"/>
    <x v="1"/>
    <x v="1"/>
    <x v="0"/>
    <x v="0"/>
    <n v="78"/>
    <n v="131595"/>
    <n v="6"/>
    <n v="85"/>
  </r>
  <r>
    <s v="P418"/>
    <x v="2"/>
    <x v="1"/>
    <x v="2"/>
    <x v="1"/>
    <n v="78"/>
    <n v="33183"/>
    <n v="10"/>
    <n v="72"/>
  </r>
  <r>
    <s v="P419"/>
    <x v="2"/>
    <x v="3"/>
    <x v="0"/>
    <x v="0"/>
    <n v="85"/>
    <n v="132055"/>
    <n v="21"/>
    <n v="50"/>
  </r>
  <r>
    <s v="P420"/>
    <x v="0"/>
    <x v="3"/>
    <x v="3"/>
    <x v="0"/>
    <n v="29"/>
    <n v="24692"/>
    <n v="25"/>
    <n v="64"/>
  </r>
  <r>
    <s v="P421"/>
    <x v="2"/>
    <x v="3"/>
    <x v="3"/>
    <x v="1"/>
    <n v="42"/>
    <n v="193775"/>
    <n v="10"/>
    <n v="95"/>
  </r>
  <r>
    <s v="P422"/>
    <x v="3"/>
    <x v="0"/>
    <x v="1"/>
    <x v="1"/>
    <n v="17"/>
    <n v="161448"/>
    <n v="19"/>
    <n v="80"/>
  </r>
  <r>
    <s v="P423"/>
    <x v="4"/>
    <x v="3"/>
    <x v="1"/>
    <x v="1"/>
    <n v="18"/>
    <n v="118508"/>
    <n v="14"/>
    <n v="92"/>
  </r>
  <r>
    <s v="P424"/>
    <x v="3"/>
    <x v="0"/>
    <x v="0"/>
    <x v="0"/>
    <n v="66"/>
    <n v="75097"/>
    <n v="17"/>
    <n v="53"/>
  </r>
  <r>
    <s v="P425"/>
    <x v="5"/>
    <x v="2"/>
    <x v="0"/>
    <x v="0"/>
    <n v="40"/>
    <n v="69677"/>
    <n v="4"/>
    <n v="58"/>
  </r>
  <r>
    <s v="P426"/>
    <x v="0"/>
    <x v="0"/>
    <x v="4"/>
    <x v="1"/>
    <n v="55"/>
    <n v="33295"/>
    <n v="17"/>
    <n v="69"/>
  </r>
  <r>
    <s v="P427"/>
    <x v="2"/>
    <x v="1"/>
    <x v="3"/>
    <x v="1"/>
    <n v="67"/>
    <n v="67264"/>
    <n v="26"/>
    <n v="62"/>
  </r>
  <r>
    <s v="P428"/>
    <x v="4"/>
    <x v="3"/>
    <x v="2"/>
    <x v="0"/>
    <n v="8"/>
    <n v="122076"/>
    <n v="30"/>
    <n v="65"/>
  </r>
  <r>
    <s v="P429"/>
    <x v="4"/>
    <x v="0"/>
    <x v="4"/>
    <x v="1"/>
    <n v="68"/>
    <n v="129818"/>
    <n v="11"/>
    <n v="70"/>
  </r>
  <r>
    <s v="P430"/>
    <x v="1"/>
    <x v="1"/>
    <x v="2"/>
    <x v="1"/>
    <n v="45"/>
    <n v="183926"/>
    <n v="15"/>
    <n v="53"/>
  </r>
  <r>
    <s v="P431"/>
    <x v="5"/>
    <x v="1"/>
    <x v="1"/>
    <x v="1"/>
    <n v="31"/>
    <n v="27557"/>
    <n v="15"/>
    <n v="89"/>
  </r>
  <r>
    <s v="P432"/>
    <x v="2"/>
    <x v="3"/>
    <x v="0"/>
    <x v="0"/>
    <n v="56"/>
    <n v="164723"/>
    <n v="25"/>
    <n v="70"/>
  </r>
  <r>
    <s v="P433"/>
    <x v="4"/>
    <x v="2"/>
    <x v="0"/>
    <x v="1"/>
    <n v="8"/>
    <n v="148321"/>
    <n v="14"/>
    <n v="69"/>
  </r>
  <r>
    <s v="P434"/>
    <x v="1"/>
    <x v="2"/>
    <x v="4"/>
    <x v="1"/>
    <n v="6"/>
    <n v="23641"/>
    <n v="29"/>
    <n v="74"/>
  </r>
  <r>
    <s v="P435"/>
    <x v="5"/>
    <x v="2"/>
    <x v="3"/>
    <x v="1"/>
    <n v="35"/>
    <n v="22930"/>
    <n v="20"/>
    <n v="74"/>
  </r>
  <r>
    <s v="P436"/>
    <x v="2"/>
    <x v="1"/>
    <x v="1"/>
    <x v="0"/>
    <n v="70"/>
    <n v="57077"/>
    <n v="5"/>
    <n v="51"/>
  </r>
  <r>
    <s v="P437"/>
    <x v="5"/>
    <x v="3"/>
    <x v="3"/>
    <x v="0"/>
    <n v="2"/>
    <n v="121083"/>
    <n v="18"/>
    <n v="79"/>
  </r>
  <r>
    <s v="P438"/>
    <x v="2"/>
    <x v="2"/>
    <x v="2"/>
    <x v="2"/>
    <n v="57"/>
    <n v="190174"/>
    <n v="18"/>
    <n v="64"/>
  </r>
  <r>
    <s v="P439"/>
    <x v="0"/>
    <x v="3"/>
    <x v="3"/>
    <x v="1"/>
    <n v="41"/>
    <n v="198865"/>
    <n v="11"/>
    <n v="86"/>
  </r>
  <r>
    <s v="P440"/>
    <x v="3"/>
    <x v="1"/>
    <x v="2"/>
    <x v="1"/>
    <n v="9"/>
    <n v="125639"/>
    <n v="19"/>
    <n v="53"/>
  </r>
  <r>
    <s v="P441"/>
    <x v="3"/>
    <x v="3"/>
    <x v="0"/>
    <x v="0"/>
    <n v="40"/>
    <n v="86768"/>
    <n v="15"/>
    <n v="79"/>
  </r>
  <r>
    <s v="P442"/>
    <x v="3"/>
    <x v="3"/>
    <x v="3"/>
    <x v="0"/>
    <n v="78"/>
    <n v="108547"/>
    <n v="8"/>
    <n v="80"/>
  </r>
  <r>
    <s v="P443"/>
    <x v="5"/>
    <x v="0"/>
    <x v="3"/>
    <x v="1"/>
    <n v="1"/>
    <n v="68623"/>
    <n v="25"/>
    <n v="50"/>
  </r>
  <r>
    <s v="P444"/>
    <x v="2"/>
    <x v="3"/>
    <x v="0"/>
    <x v="0"/>
    <n v="48"/>
    <n v="86251"/>
    <n v="22"/>
    <n v="58"/>
  </r>
  <r>
    <s v="P445"/>
    <x v="0"/>
    <x v="1"/>
    <x v="3"/>
    <x v="0"/>
    <n v="66"/>
    <n v="57254"/>
    <n v="22"/>
    <n v="93"/>
  </r>
  <r>
    <s v="P446"/>
    <x v="3"/>
    <x v="2"/>
    <x v="2"/>
    <x v="0"/>
    <n v="71"/>
    <n v="196528"/>
    <n v="14"/>
    <n v="60"/>
  </r>
  <r>
    <s v="P447"/>
    <x v="0"/>
    <x v="0"/>
    <x v="0"/>
    <x v="0"/>
    <n v="25"/>
    <n v="36619"/>
    <n v="27"/>
    <n v="60"/>
  </r>
  <r>
    <s v="P448"/>
    <x v="2"/>
    <x v="1"/>
    <x v="4"/>
    <x v="0"/>
    <n v="78"/>
    <n v="108284"/>
    <n v="25"/>
    <n v="67"/>
  </r>
  <r>
    <s v="P449"/>
    <x v="4"/>
    <x v="1"/>
    <x v="4"/>
    <x v="1"/>
    <n v="47"/>
    <n v="189668"/>
    <n v="10"/>
    <n v="76"/>
  </r>
  <r>
    <s v="P450"/>
    <x v="4"/>
    <x v="0"/>
    <x v="4"/>
    <x v="1"/>
    <n v="55"/>
    <n v="55346"/>
    <n v="15"/>
    <n v="74"/>
  </r>
  <r>
    <s v="P451"/>
    <x v="4"/>
    <x v="1"/>
    <x v="1"/>
    <x v="1"/>
    <n v="4"/>
    <n v="75776"/>
    <n v="21"/>
    <n v="65"/>
  </r>
  <r>
    <s v="P452"/>
    <x v="2"/>
    <x v="2"/>
    <x v="4"/>
    <x v="0"/>
    <n v="13"/>
    <n v="128289"/>
    <n v="19"/>
    <n v="77"/>
  </r>
  <r>
    <s v="P453"/>
    <x v="3"/>
    <x v="2"/>
    <x v="0"/>
    <x v="1"/>
    <n v="6"/>
    <n v="120836"/>
    <n v="5"/>
    <n v="53"/>
  </r>
  <r>
    <s v="P454"/>
    <x v="1"/>
    <x v="0"/>
    <x v="2"/>
    <x v="1"/>
    <n v="18"/>
    <n v="52805"/>
    <n v="29"/>
    <n v="87"/>
  </r>
  <r>
    <s v="P455"/>
    <x v="2"/>
    <x v="2"/>
    <x v="0"/>
    <x v="0"/>
    <n v="81"/>
    <n v="154643"/>
    <n v="19"/>
    <n v="58"/>
  </r>
  <r>
    <s v="P456"/>
    <x v="4"/>
    <x v="2"/>
    <x v="2"/>
    <x v="1"/>
    <n v="19"/>
    <n v="25186"/>
    <n v="26"/>
    <n v="75"/>
  </r>
  <r>
    <s v="P457"/>
    <x v="2"/>
    <x v="0"/>
    <x v="4"/>
    <x v="1"/>
    <n v="30"/>
    <n v="72734"/>
    <n v="14"/>
    <n v="68"/>
  </r>
  <r>
    <s v="P458"/>
    <x v="4"/>
    <x v="3"/>
    <x v="3"/>
    <x v="0"/>
    <n v="58"/>
    <n v="163009"/>
    <n v="4"/>
    <n v="71"/>
  </r>
  <r>
    <s v="P459"/>
    <x v="4"/>
    <x v="0"/>
    <x v="1"/>
    <x v="0"/>
    <n v="20"/>
    <n v="130536"/>
    <n v="25"/>
    <n v="63"/>
  </r>
  <r>
    <s v="P460"/>
    <x v="5"/>
    <x v="1"/>
    <x v="4"/>
    <x v="1"/>
    <n v="74"/>
    <n v="91629"/>
    <n v="14"/>
    <n v="55"/>
  </r>
  <r>
    <s v="P461"/>
    <x v="4"/>
    <x v="1"/>
    <x v="4"/>
    <x v="0"/>
    <n v="77"/>
    <n v="65160"/>
    <n v="19"/>
    <n v="57"/>
  </r>
  <r>
    <s v="P462"/>
    <x v="3"/>
    <x v="0"/>
    <x v="2"/>
    <x v="0"/>
    <n v="37"/>
    <n v="116645"/>
    <n v="5"/>
    <n v="61"/>
  </r>
  <r>
    <s v="P463"/>
    <x v="3"/>
    <x v="2"/>
    <x v="1"/>
    <x v="1"/>
    <n v="8"/>
    <n v="62388"/>
    <n v="25"/>
    <n v="57"/>
  </r>
  <r>
    <s v="P464"/>
    <x v="5"/>
    <x v="1"/>
    <x v="4"/>
    <x v="1"/>
    <n v="53"/>
    <n v="53276"/>
    <n v="24"/>
    <n v="63"/>
  </r>
  <r>
    <s v="P465"/>
    <x v="1"/>
    <x v="0"/>
    <x v="4"/>
    <x v="0"/>
    <n v="77"/>
    <n v="64065"/>
    <n v="17"/>
    <n v="67"/>
  </r>
  <r>
    <s v="P466"/>
    <x v="0"/>
    <x v="0"/>
    <x v="0"/>
    <x v="1"/>
    <n v="51"/>
    <n v="141789"/>
    <n v="27"/>
    <n v="85"/>
  </r>
  <r>
    <s v="P467"/>
    <x v="5"/>
    <x v="2"/>
    <x v="1"/>
    <x v="1"/>
    <n v="16"/>
    <n v="97614"/>
    <n v="19"/>
    <n v="71"/>
  </r>
  <r>
    <s v="P468"/>
    <x v="2"/>
    <x v="0"/>
    <x v="3"/>
    <x v="0"/>
    <n v="38"/>
    <n v="124599"/>
    <n v="21"/>
    <n v="69"/>
  </r>
  <r>
    <s v="P469"/>
    <x v="3"/>
    <x v="2"/>
    <x v="4"/>
    <x v="1"/>
    <n v="83"/>
    <n v="197057"/>
    <n v="8"/>
    <n v="51"/>
  </r>
  <r>
    <s v="P470"/>
    <x v="0"/>
    <x v="2"/>
    <x v="3"/>
    <x v="0"/>
    <n v="78"/>
    <n v="77239"/>
    <n v="26"/>
    <n v="72"/>
  </r>
  <r>
    <s v="P471"/>
    <x v="0"/>
    <x v="2"/>
    <x v="3"/>
    <x v="0"/>
    <n v="2"/>
    <n v="143564"/>
    <n v="21"/>
    <n v="93"/>
  </r>
  <r>
    <s v="P472"/>
    <x v="1"/>
    <x v="3"/>
    <x v="1"/>
    <x v="0"/>
    <n v="10"/>
    <n v="133744"/>
    <n v="18"/>
    <n v="89"/>
  </r>
  <r>
    <s v="P473"/>
    <x v="0"/>
    <x v="2"/>
    <x v="3"/>
    <x v="1"/>
    <n v="18"/>
    <n v="148500"/>
    <n v="24"/>
    <n v="90"/>
  </r>
  <r>
    <s v="P474"/>
    <x v="3"/>
    <x v="1"/>
    <x v="0"/>
    <x v="1"/>
    <n v="30"/>
    <n v="63879"/>
    <n v="19"/>
    <n v="50"/>
  </r>
  <r>
    <s v="P475"/>
    <x v="0"/>
    <x v="2"/>
    <x v="2"/>
    <x v="1"/>
    <n v="4"/>
    <n v="159992"/>
    <n v="24"/>
    <n v="59"/>
  </r>
  <r>
    <s v="P476"/>
    <x v="1"/>
    <x v="3"/>
    <x v="4"/>
    <x v="0"/>
    <n v="84"/>
    <n v="79986"/>
    <n v="22"/>
    <n v="52"/>
  </r>
  <r>
    <s v="P477"/>
    <x v="1"/>
    <x v="2"/>
    <x v="4"/>
    <x v="0"/>
    <n v="62"/>
    <n v="113607"/>
    <n v="23"/>
    <n v="65"/>
  </r>
  <r>
    <s v="P478"/>
    <x v="0"/>
    <x v="0"/>
    <x v="3"/>
    <x v="0"/>
    <n v="76"/>
    <n v="96135"/>
    <n v="17"/>
    <n v="61"/>
  </r>
  <r>
    <s v="P479"/>
    <x v="3"/>
    <x v="2"/>
    <x v="2"/>
    <x v="1"/>
    <n v="20"/>
    <n v="126992"/>
    <n v="28"/>
    <n v="63"/>
  </r>
  <r>
    <s v="P480"/>
    <x v="1"/>
    <x v="1"/>
    <x v="3"/>
    <x v="1"/>
    <n v="22"/>
    <n v="53692"/>
    <n v="10"/>
    <n v="85"/>
  </r>
  <r>
    <s v="P481"/>
    <x v="1"/>
    <x v="1"/>
    <x v="2"/>
    <x v="0"/>
    <n v="29"/>
    <n v="119105"/>
    <n v="25"/>
    <n v="66"/>
  </r>
  <r>
    <s v="P482"/>
    <x v="1"/>
    <x v="3"/>
    <x v="0"/>
    <x v="0"/>
    <n v="20"/>
    <n v="105506"/>
    <n v="7"/>
    <n v="76"/>
  </r>
  <r>
    <s v="P483"/>
    <x v="4"/>
    <x v="1"/>
    <x v="2"/>
    <x v="1"/>
    <n v="64"/>
    <n v="92371"/>
    <n v="16"/>
    <n v="59"/>
  </r>
  <r>
    <s v="P484"/>
    <x v="1"/>
    <x v="0"/>
    <x v="3"/>
    <x v="0"/>
    <n v="39"/>
    <n v="187247"/>
    <n v="7"/>
    <n v="86"/>
  </r>
  <r>
    <s v="P485"/>
    <x v="3"/>
    <x v="3"/>
    <x v="4"/>
    <x v="1"/>
    <n v="39"/>
    <n v="28079"/>
    <n v="24"/>
    <n v="86"/>
  </r>
  <r>
    <s v="P486"/>
    <x v="2"/>
    <x v="2"/>
    <x v="1"/>
    <x v="0"/>
    <n v="1"/>
    <n v="177157"/>
    <n v="4"/>
    <n v="91"/>
  </r>
  <r>
    <s v="P487"/>
    <x v="3"/>
    <x v="0"/>
    <x v="0"/>
    <x v="1"/>
    <n v="35"/>
    <n v="121408"/>
    <n v="16"/>
    <n v="95"/>
  </r>
  <r>
    <s v="P488"/>
    <x v="5"/>
    <x v="3"/>
    <x v="0"/>
    <x v="1"/>
    <n v="27"/>
    <n v="144857"/>
    <n v="18"/>
    <n v="91"/>
  </r>
  <r>
    <s v="P489"/>
    <x v="5"/>
    <x v="0"/>
    <x v="3"/>
    <x v="1"/>
    <n v="42"/>
    <n v="53740"/>
    <n v="15"/>
    <n v="58"/>
  </r>
  <r>
    <s v="P490"/>
    <x v="4"/>
    <x v="0"/>
    <x v="0"/>
    <x v="0"/>
    <n v="49"/>
    <n v="119942"/>
    <n v="23"/>
    <n v="81"/>
  </r>
  <r>
    <s v="P491"/>
    <x v="3"/>
    <x v="3"/>
    <x v="4"/>
    <x v="1"/>
    <n v="19"/>
    <n v="34696"/>
    <n v="22"/>
    <n v="95"/>
  </r>
  <r>
    <s v="P492"/>
    <x v="5"/>
    <x v="3"/>
    <x v="1"/>
    <x v="1"/>
    <n v="42"/>
    <n v="93235"/>
    <n v="3"/>
    <n v="83"/>
  </r>
  <r>
    <s v="P493"/>
    <x v="5"/>
    <x v="2"/>
    <x v="4"/>
    <x v="0"/>
    <n v="46"/>
    <n v="41735"/>
    <n v="3"/>
    <n v="77"/>
  </r>
  <r>
    <s v="P494"/>
    <x v="5"/>
    <x v="2"/>
    <x v="2"/>
    <x v="0"/>
    <n v="5"/>
    <n v="125705"/>
    <n v="13"/>
    <n v="75"/>
  </r>
  <r>
    <s v="P495"/>
    <x v="4"/>
    <x v="1"/>
    <x v="0"/>
    <x v="0"/>
    <n v="76"/>
    <n v="110848"/>
    <n v="12"/>
    <n v="77"/>
  </r>
  <r>
    <s v="P496"/>
    <x v="1"/>
    <x v="0"/>
    <x v="2"/>
    <x v="1"/>
    <n v="38"/>
    <n v="173615"/>
    <n v="29"/>
    <n v="82"/>
  </r>
  <r>
    <s v="P497"/>
    <x v="2"/>
    <x v="3"/>
    <x v="2"/>
    <x v="0"/>
    <n v="62"/>
    <n v="145024"/>
    <n v="19"/>
    <n v="56"/>
  </r>
  <r>
    <s v="P498"/>
    <x v="4"/>
    <x v="1"/>
    <x v="1"/>
    <x v="1"/>
    <n v="19"/>
    <n v="41531"/>
    <n v="13"/>
    <n v="76"/>
  </r>
  <r>
    <s v="P499"/>
    <x v="4"/>
    <x v="0"/>
    <x v="0"/>
    <x v="0"/>
    <n v="35"/>
    <n v="43125"/>
    <n v="12"/>
    <n v="94"/>
  </r>
  <r>
    <s v="P500"/>
    <x v="1"/>
    <x v="3"/>
    <x v="3"/>
    <x v="1"/>
    <n v="39"/>
    <n v="50824"/>
    <n v="18"/>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597EFD-2B28-4E89-80E7-479D0A610083}" name="KPI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9">
    <pivotField dataField="1" showAll="0"/>
    <pivotField showAll="0"/>
    <pivotField showAll="0"/>
    <pivotField showAll="0"/>
    <pivotField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Patients Count" fld="0" subtotal="count" baseField="0" baseItem="0"/>
    <dataField name="Average of Treatment Cost" fld="6" subtotal="average" baseField="0" baseItem="1" numFmtId="2"/>
    <dataField name="Average of Age" fld="5" subtotal="average" baseField="0" baseItem="1" numFmtId="2"/>
    <dataField name="Average of Hospital Stay (Days)" fld="7" subtotal="average" baseField="0" baseItem="1" numFmtId="2"/>
    <dataField name="Average of Recovery Score" fld="8"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72E0E3-029C-4009-9D63-28D6E9D5837B}" name="PivotTable3" cacheId="9" applyNumberFormats="0" applyBorderFormats="0" applyFontFormats="0" applyPatternFormats="0" applyAlignmentFormats="0" applyWidthHeightFormats="1" dataCaption="Values" updatedVersion="8" minRefreshableVersion="3" showDrill="0" showDataTips="0" useAutoFormatting="1" itemPrintTitles="1" createdVersion="8" indent="0" showHeaders="0" outline="1" outlineData="1" multipleFieldFilters="0" chartFormat="8">
  <location ref="A2:B6" firstHeaderRow="1" firstDataRow="1" firstDataCol="1"/>
  <pivotFields count="9">
    <pivotField showAll="0"/>
    <pivotField showAll="0">
      <items count="7">
        <item x="2"/>
        <item x="1"/>
        <item x="0"/>
        <item x="5"/>
        <item x="4"/>
        <item x="3"/>
        <item t="default"/>
      </items>
    </pivotField>
    <pivotField showAll="0">
      <items count="5">
        <item x="0"/>
        <item x="2"/>
        <item x="3"/>
        <item x="1"/>
        <item t="default"/>
      </items>
    </pivotField>
    <pivotField showAll="0">
      <items count="6">
        <item x="3"/>
        <item x="1"/>
        <item x="2"/>
        <item x="0"/>
        <item x="4"/>
        <item t="default"/>
      </items>
    </pivotField>
    <pivotField axis="axisRow" showAll="0">
      <items count="4">
        <item x="1"/>
        <item x="0"/>
        <item x="2"/>
        <item t="default"/>
      </items>
    </pivotField>
    <pivotField showAll="0"/>
    <pivotField showAll="0"/>
    <pivotField showAll="0"/>
    <pivotField dataField="1" showAll="0"/>
  </pivotFields>
  <rowFields count="1">
    <field x="4"/>
  </rowFields>
  <rowItems count="4">
    <i>
      <x/>
    </i>
    <i>
      <x v="1"/>
    </i>
    <i>
      <x v="2"/>
    </i>
    <i t="grand">
      <x/>
    </i>
  </rowItems>
  <colItems count="1">
    <i/>
  </colItems>
  <dataFields count="1">
    <dataField name="Average of Recovery Score" fld="8" subtotal="average" baseField="4" baseItem="0" numFmtId="2"/>
  </dataFields>
  <chartFormats count="2">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55CD84-6C63-4932-9B2A-18187E3EE2AC}" name="PivotTable6" cacheId="9" applyNumberFormats="0" applyBorderFormats="0" applyFontFormats="0" applyPatternFormats="0" applyAlignmentFormats="0" applyWidthHeightFormats="1" dataCaption="Values" updatedVersion="8" minRefreshableVersion="3" showDrill="0" showDataTips="0" useAutoFormatting="1" itemPrintTitles="1" createdVersion="8" indent="0" showHeaders="0" outline="1" outlineData="1" multipleFieldFilters="0" chartFormat="19">
  <location ref="D2:E8" firstHeaderRow="1" firstDataRow="1" firstDataCol="1"/>
  <pivotFields count="9">
    <pivotField showAll="0"/>
    <pivotField showAll="0">
      <items count="7">
        <item x="2"/>
        <item x="1"/>
        <item x="0"/>
        <item x="5"/>
        <item x="4"/>
        <item x="3"/>
        <item t="default"/>
      </items>
    </pivotField>
    <pivotField showAll="0">
      <items count="5">
        <item x="0"/>
        <item x="2"/>
        <item x="3"/>
        <item x="1"/>
        <item t="default"/>
      </items>
    </pivotField>
    <pivotField axis="axisRow" showAll="0">
      <items count="6">
        <item x="3"/>
        <item x="1"/>
        <item x="2"/>
        <item x="0"/>
        <item x="4"/>
        <item t="default"/>
      </items>
    </pivotField>
    <pivotField showAll="0">
      <items count="4">
        <item x="1"/>
        <item x="0"/>
        <item x="2"/>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Avg Recovery Score" fld="8" subtotal="average" baseField="1" baseItem="0" numFmtId="2"/>
  </dataFields>
  <chartFormats count="1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0"/>
          </reference>
        </references>
      </pivotArea>
    </chartFormat>
    <chartFormat chart="10" format="2">
      <pivotArea type="data" outline="0" fieldPosition="0">
        <references count="2">
          <reference field="4294967294" count="1" selected="0">
            <x v="0"/>
          </reference>
          <reference field="4" count="1" selected="0">
            <x v="1"/>
          </reference>
        </references>
      </pivotArea>
    </chartFormat>
    <chartFormat chart="10" format="3">
      <pivotArea type="data" outline="0" fieldPosition="0">
        <references count="2">
          <reference field="4294967294" count="1" selected="0">
            <x v="0"/>
          </reference>
          <reference field="4"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4" count="1" selected="0">
            <x v="0"/>
          </reference>
        </references>
      </pivotArea>
    </chartFormat>
    <chartFormat chart="18" format="10">
      <pivotArea type="data" outline="0" fieldPosition="0">
        <references count="2">
          <reference field="4294967294" count="1" selected="0">
            <x v="0"/>
          </reference>
          <reference field="4" count="1" selected="0">
            <x v="1"/>
          </reference>
        </references>
      </pivotArea>
    </chartFormat>
    <chartFormat chart="18"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C1BA16-EDE4-4CC0-91F8-81F8AA92F651}" name="PivotTable2" cacheId="9" applyNumberFormats="0" applyBorderFormats="0" applyFontFormats="0" applyPatternFormats="0" applyAlignmentFormats="0" applyWidthHeightFormats="1" dataCaption="Values" updatedVersion="8" minRefreshableVersion="3" showDrill="0" showDataTips="0" useAutoFormatting="1" itemPrintTitles="1" createdVersion="8" indent="0" showHeaders="0" outline="1" outlineData="1" multipleFieldFilters="0" chartFormat="19">
  <location ref="A17:B24" firstHeaderRow="1" firstDataRow="1" firstDataCol="1"/>
  <pivotFields count="9">
    <pivotField showAll="0"/>
    <pivotField axis="axisRow" showAll="0">
      <items count="7">
        <item x="2"/>
        <item x="1"/>
        <item x="0"/>
        <item x="5"/>
        <item x="4"/>
        <item x="3"/>
        <item t="default"/>
      </items>
    </pivotField>
    <pivotField showAll="0">
      <items count="5">
        <item x="0"/>
        <item x="2"/>
        <item x="3"/>
        <item x="1"/>
        <item t="default"/>
      </items>
    </pivotField>
    <pivotField showAll="0">
      <items count="6">
        <item x="3"/>
        <item x="1"/>
        <item x="2"/>
        <item x="0"/>
        <item x="4"/>
        <item t="default"/>
      </items>
    </pivotField>
    <pivotField showAll="0">
      <items count="4">
        <item x="1"/>
        <item x="0"/>
        <item x="2"/>
        <item t="default"/>
      </items>
    </pivotField>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Avg Recovery Score" fld="8" subtotal="average" baseField="1" baseItem="0" numFmtId="2"/>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4" count="1" selected="0">
            <x v="0"/>
          </reference>
        </references>
      </pivotArea>
    </chartFormat>
    <chartFormat chart="18" format="10">
      <pivotArea type="data" outline="0" fieldPosition="0">
        <references count="2">
          <reference field="4294967294" count="1" selected="0">
            <x v="0"/>
          </reference>
          <reference field="4" count="1" selected="0">
            <x v="1"/>
          </reference>
        </references>
      </pivotArea>
    </chartFormat>
    <chartFormat chart="18" format="11">
      <pivotArea type="data" outline="0" fieldPosition="0">
        <references count="2">
          <reference field="4294967294" count="1" selected="0">
            <x v="0"/>
          </reference>
          <reference field="4" count="1" selected="0">
            <x v="2"/>
          </reference>
        </references>
      </pivotArea>
    </chartFormat>
    <chartFormat chart="18" format="12">
      <pivotArea type="data" outline="0" fieldPosition="0">
        <references count="2">
          <reference field="4294967294" count="1" selected="0">
            <x v="0"/>
          </reference>
          <reference field="1" count="1" selected="0">
            <x v="0"/>
          </reference>
        </references>
      </pivotArea>
    </chartFormat>
    <chartFormat chart="18" format="13">
      <pivotArea type="data" outline="0" fieldPosition="0">
        <references count="2">
          <reference field="4294967294" count="1" selected="0">
            <x v="0"/>
          </reference>
          <reference field="1" count="1" selected="0">
            <x v="1"/>
          </reference>
        </references>
      </pivotArea>
    </chartFormat>
    <chartFormat chart="18" format="1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A96589-8264-4962-BF90-6EF82CF27DCF}" name="PivotTable4" cacheId="9" applyNumberFormats="0" applyBorderFormats="0" applyFontFormats="0" applyPatternFormats="0" applyAlignmentFormats="0" applyWidthHeightFormats="1" dataCaption="Values" updatedVersion="8" minRefreshableVersion="3" showDrill="0" showDataTips="0" useAutoFormatting="1" itemPrintTitles="1" createdVersion="8" indent="0" showHeaders="0" outline="1" outlineData="1" multipleFieldFilters="0" chartFormat="12">
  <location ref="A9:B14" firstHeaderRow="1" firstDataRow="1" firstDataCol="1"/>
  <pivotFields count="9">
    <pivotField showAll="0"/>
    <pivotField showAll="0">
      <items count="7">
        <item x="2"/>
        <item x="1"/>
        <item x="0"/>
        <item x="5"/>
        <item x="4"/>
        <item x="3"/>
        <item t="default"/>
      </items>
    </pivotField>
    <pivotField axis="axisRow" showAll="0">
      <items count="5">
        <item x="0"/>
        <item x="2"/>
        <item x="3"/>
        <item x="1"/>
        <item t="default"/>
      </items>
    </pivotField>
    <pivotField showAll="0">
      <items count="6">
        <item x="3"/>
        <item x="1"/>
        <item x="2"/>
        <item x="0"/>
        <item x="4"/>
        <item t="default"/>
      </items>
    </pivotField>
    <pivotField showAll="0">
      <items count="4">
        <item x="1"/>
        <item x="0"/>
        <item x="2"/>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Avg Recovery Score" fld="8" subtotal="average" baseField="1" baseItem="0" numFmtId="2"/>
  </dataFields>
  <chartFormats count="4">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076D3-CB5E-4FFB-AC6A-EC571A77E4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items count="4">
        <item x="0"/>
        <item x="1"/>
        <item h="1" x="2"/>
        <item t="default"/>
      </items>
    </pivotField>
  </pivotFields>
  <rowFields count="1">
    <field x="9"/>
  </rowFields>
  <rowItems count="3">
    <i>
      <x/>
    </i>
    <i>
      <x v="1"/>
    </i>
    <i t="grand">
      <x/>
    </i>
  </rowItems>
  <colItems count="1">
    <i/>
  </colItems>
  <dataFields count="1">
    <dataField name="Average of Recovery Score" fld="8" subtotal="average" baseField="9" baseItem="0" numFmtId="2"/>
  </dataFields>
  <chartFormats count="9">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9" count="1" selected="0">
            <x v="0"/>
          </reference>
        </references>
      </pivotArea>
    </chartFormat>
    <chartFormat chart="5" format="3">
      <pivotArea type="data" outline="0" fieldPosition="0">
        <references count="2">
          <reference field="4294967294" count="1" selected="0">
            <x v="0"/>
          </reference>
          <reference field="9"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CE5DBA-E997-4D57-A2F7-FDCF3810AE6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1">
    <pivotField showAll="0"/>
    <pivotField showAll="0"/>
    <pivotField showAll="0"/>
    <pivotField showAll="0"/>
    <pivotField showAll="0"/>
    <pivotField showAll="0"/>
    <pivotField showAll="0"/>
    <pivotField showAll="0"/>
    <pivotField dataField="1" showAll="0"/>
    <pivotField showAll="0"/>
    <pivotField axis="axisRow" showAll="0">
      <items count="9">
        <item x="0"/>
        <item x="5"/>
        <item x="6"/>
        <item x="2"/>
        <item x="3"/>
        <item x="1"/>
        <item x="7"/>
        <item x="4"/>
        <item t="default"/>
      </items>
    </pivotField>
  </pivotFields>
  <rowFields count="1">
    <field x="10"/>
  </rowFields>
  <rowItems count="9">
    <i>
      <x/>
    </i>
    <i>
      <x v="1"/>
    </i>
    <i>
      <x v="2"/>
    </i>
    <i>
      <x v="3"/>
    </i>
    <i>
      <x v="4"/>
    </i>
    <i>
      <x v="5"/>
    </i>
    <i>
      <x v="6"/>
    </i>
    <i>
      <x v="7"/>
    </i>
    <i t="grand">
      <x/>
    </i>
  </rowItems>
  <colItems count="1">
    <i/>
  </colItems>
  <dataFields count="1">
    <dataField name="Average Recovery Score" fld="8" subtotal="average" baseField="1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D1DA4D-F17F-4865-8F49-BA437BE177E0}" name="PivotTable9" cacheId="1" applyNumberFormats="0" applyBorderFormats="0" applyFontFormats="0" applyPatternFormats="0" applyAlignmentFormats="0" applyWidthHeightFormats="1" dataCaption="Values" updatedVersion="8" minRefreshableVersion="3" showDrill="0" showDataTips="0" useAutoFormatting="1" itemPrintTitles="1" createdVersion="8" indent="0" showHeaders="0" outline="1" outlineData="1" multipleFieldFilters="0" chartFormat="12">
  <location ref="G3:J10" firstHeaderRow="0" firstDataRow="1" firstDataCol="1"/>
  <pivotFields count="11">
    <pivotField showAll="0"/>
    <pivotField axis="axisRow" showAll="0">
      <items count="7">
        <item x="2"/>
        <item x="1"/>
        <item x="0"/>
        <item x="5"/>
        <item x="4"/>
        <item x="3"/>
        <item t="default"/>
      </items>
    </pivotField>
    <pivotField showAll="0"/>
    <pivotField showAll="0"/>
    <pivotField showAll="0"/>
    <pivotField showAll="0"/>
    <pivotField showAll="0"/>
    <pivotField showAll="0"/>
    <pivotField dataField="1" showAll="0"/>
    <pivotField showAll="0"/>
    <pivotField showAll="0">
      <items count="9">
        <item x="0"/>
        <item x="5"/>
        <item x="6"/>
        <item x="2"/>
        <item x="3"/>
        <item x="1"/>
        <item x="7"/>
        <item x="4"/>
        <item t="default"/>
      </items>
    </pivotField>
  </pivotFields>
  <rowFields count="1">
    <field x="1"/>
  </rowFields>
  <rowItems count="7">
    <i>
      <x/>
    </i>
    <i>
      <x v="1"/>
    </i>
    <i>
      <x v="2"/>
    </i>
    <i>
      <x v="3"/>
    </i>
    <i>
      <x v="4"/>
    </i>
    <i>
      <x v="5"/>
    </i>
    <i t="grand">
      <x/>
    </i>
  </rowItems>
  <colFields count="1">
    <field x="-2"/>
  </colFields>
  <colItems count="3">
    <i>
      <x/>
    </i>
    <i i="1">
      <x v="1"/>
    </i>
    <i i="2">
      <x v="2"/>
    </i>
  </colItems>
  <dataFields count="3">
    <dataField name="Average Recovery Score" fld="8" subtotal="average" baseField="10" baseItem="0" numFmtId="2"/>
    <dataField name="Min of Recovery Score" fld="8" subtotal="min" baseField="1" baseItem="0" numFmtId="2"/>
    <dataField name="StdDev of Recovery Score" fld="8" subtotal="stdDev" baseField="1"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65DB82-E0D4-41FA-BCD6-3B87EB3EDDB9}" sourceName="Department">
  <pivotTables>
    <pivotTable tabId="2" name="PivotTable3"/>
    <pivotTable tabId="2" name="PivotTable4"/>
    <pivotTable tabId="2" name="PivotTable2"/>
    <pivotTable tabId="2" name="PivotTable6"/>
  </pivotTables>
  <data>
    <tabular pivotCacheId="1924154287">
      <items count="6">
        <i x="2" s="1"/>
        <i x="1" s="1"/>
        <i x="0"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904D9340-D6B4-4467-BE52-FBD00AF3505C}" sourceName="Treatment Type">
  <pivotTables>
    <pivotTable tabId="2" name="PivotTable3"/>
    <pivotTable tabId="2" name="PivotTable4"/>
    <pivotTable tabId="2" name="PivotTable2"/>
    <pivotTable tabId="2" name="PivotTable6"/>
  </pivotTables>
  <data>
    <tabular pivotCacheId="1924154287">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37C797E4-136F-4B44-837F-1BA62299FCD8}" sourceName="Doctor Name">
  <pivotTables>
    <pivotTable tabId="2" name="PivotTable3"/>
    <pivotTable tabId="2" name="PivotTable4"/>
    <pivotTable tabId="2" name="PivotTable2"/>
    <pivotTable tabId="2" name="PivotTable6"/>
  </pivotTables>
  <data>
    <tabular pivotCacheId="1924154287">
      <items count="5">
        <i x="3" s="1"/>
        <i x="1"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420CEA-DCE6-4508-8B33-310C8A3B67EA}" sourceName="Gender">
  <pivotTables>
    <pivotTable tabId="2" name="PivotTable3"/>
    <pivotTable tabId="2" name="PivotTable4"/>
    <pivotTable tabId="2" name="PivotTable2"/>
    <pivotTable tabId="2" name="PivotTable6"/>
  </pivotTables>
  <data>
    <tabular pivotCacheId="192415428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2BEA917-ECB0-4F3C-9B6E-4D9E86D770FB}" cache="Slicer_Department" caption="Department" style="SlicerStyleDark1" rowHeight="241300"/>
  <slicer name="Treatment Type 1" xr10:uid="{A45C7A64-BF74-4244-8FF4-435E0AC55DAC}" cache="Slicer_Treatment_Type" caption="Treatment Type" style="SlicerStyleDark1" rowHeight="241300"/>
  <slicer name="Doctor Name 1" xr10:uid="{0D6A44A0-B033-4FB4-B7A1-5A63ACCEEE0D}" cache="Slicer_Doctor_Name" caption="Doctor Name" style="SlicerStyleDark1" rowHeight="241300"/>
  <slicer name="Gender 1" xr10:uid="{BF99C92E-D325-429F-A442-4A1C182F2FD2}" cache="Slicer_Gender" caption="Gender"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rinterSettings" Target="../printerSettings/printerSettings2.bin"/><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047A3-E278-40ED-BCDA-C6E67168C5C9}">
  <dimension ref="A1"/>
  <sheetViews>
    <sheetView showGridLines="0" tabSelected="1" zoomScale="80" zoomScaleNormal="80" workbookViewId="0">
      <selection activeCell="X27" sqref="X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pane ySplit="1" topLeftCell="A2" activePane="bottomLeft" state="frozen"/>
      <selection pane="bottomLeft" activeCell="A2" sqref="A2"/>
    </sheetView>
  </sheetViews>
  <sheetFormatPr defaultColWidth="16.85546875" defaultRowHeight="15" x14ac:dyDescent="0.25"/>
  <cols>
    <col min="1" max="1" width="9.5703125" style="2" customWidth="1"/>
    <col min="2" max="5" width="16.85546875" style="2"/>
    <col min="6" max="6" width="9.5703125" style="2" customWidth="1"/>
    <col min="7" max="7" width="16.85546875" style="2"/>
    <col min="8" max="8" width="18.140625" style="2" customWidth="1"/>
    <col min="9" max="16384" width="16.85546875" style="2"/>
  </cols>
  <sheetData>
    <row r="1" spans="1:11" s="1" customFormat="1" x14ac:dyDescent="0.25">
      <c r="A1" s="1" t="s">
        <v>0</v>
      </c>
      <c r="B1" s="1" t="s">
        <v>3</v>
      </c>
      <c r="C1" s="1" t="s">
        <v>5</v>
      </c>
      <c r="D1" s="1" t="s">
        <v>4</v>
      </c>
      <c r="E1" s="1" t="s">
        <v>2</v>
      </c>
      <c r="F1" s="1" t="s">
        <v>1</v>
      </c>
      <c r="G1" s="1" t="s">
        <v>6</v>
      </c>
      <c r="H1" s="1" t="s">
        <v>526</v>
      </c>
      <c r="I1" s="1" t="s">
        <v>7</v>
      </c>
      <c r="J1" s="3" t="s">
        <v>534</v>
      </c>
      <c r="K1" s="1" t="s">
        <v>538</v>
      </c>
    </row>
    <row r="2" spans="1:11" x14ac:dyDescent="0.25">
      <c r="A2" s="4" t="s">
        <v>8</v>
      </c>
      <c r="B2" s="4" t="s">
        <v>10</v>
      </c>
      <c r="C2" s="4" t="s">
        <v>12</v>
      </c>
      <c r="D2" s="4" t="s">
        <v>11</v>
      </c>
      <c r="E2" s="4" t="s">
        <v>9</v>
      </c>
      <c r="F2" s="4">
        <v>37</v>
      </c>
      <c r="G2" s="8">
        <v>167119</v>
      </c>
      <c r="H2" s="4">
        <v>8</v>
      </c>
      <c r="I2" s="4">
        <v>92</v>
      </c>
      <c r="J2" s="2" t="str">
        <f>IF(G2&gt;100000, "High Cost", "Low Cost")</f>
        <v>High Cost</v>
      </c>
      <c r="K2" s="2" t="str">
        <f>IF(F2&lt;=5,"Infant / Toddler",IF(F2&lt;=12,"Child",IF(F2&lt;=19,"Teenager",IF(F2&lt;=29,"Young Adult",IF(F2&lt;=44,"Adult",IF(F2&lt;=59,"Middle-aged",IF(F2&lt;=74,"Senior","Elderly")))))))</f>
        <v>Adult</v>
      </c>
    </row>
    <row r="3" spans="1:11" x14ac:dyDescent="0.25">
      <c r="A3" s="4" t="s">
        <v>13</v>
      </c>
      <c r="B3" s="4" t="s">
        <v>15</v>
      </c>
      <c r="C3" s="4" t="s">
        <v>12</v>
      </c>
      <c r="D3" s="4" t="s">
        <v>16</v>
      </c>
      <c r="E3" s="4" t="s">
        <v>14</v>
      </c>
      <c r="F3" s="4">
        <v>71</v>
      </c>
      <c r="G3" s="8">
        <v>21668</v>
      </c>
      <c r="H3" s="4">
        <v>20</v>
      </c>
      <c r="I3" s="4">
        <v>85</v>
      </c>
      <c r="J3" s="2" t="str">
        <f t="shared" ref="J3:J66" si="0">IF(G3&gt;100000, "High Cost", "Low Cost")</f>
        <v>Low Cost</v>
      </c>
      <c r="K3" s="2" t="str">
        <f t="shared" ref="K3:K66" si="1">IF(F3&lt;=5,"Infant / Toddler",IF(F3&lt;=12,"Child",IF(F3&lt;=19,"Teenager",IF(F3&lt;=29,"Young Adult",IF(F3&lt;=44,"Adult",IF(F3&lt;=59,"Middle-aged",IF(F3&lt;=74,"Senior","Elderly")))))))</f>
        <v>Senior</v>
      </c>
    </row>
    <row r="4" spans="1:11" x14ac:dyDescent="0.25">
      <c r="A4" s="4" t="s">
        <v>17</v>
      </c>
      <c r="B4" s="4" t="s">
        <v>15</v>
      </c>
      <c r="C4" s="4" t="s">
        <v>19</v>
      </c>
      <c r="D4" s="4" t="s">
        <v>18</v>
      </c>
      <c r="E4" s="4" t="s">
        <v>9</v>
      </c>
      <c r="F4" s="4">
        <v>3</v>
      </c>
      <c r="G4" s="8">
        <v>28596</v>
      </c>
      <c r="H4" s="4">
        <v>4</v>
      </c>
      <c r="I4" s="4">
        <v>82</v>
      </c>
      <c r="J4" s="2" t="str">
        <f t="shared" si="0"/>
        <v>Low Cost</v>
      </c>
      <c r="K4" s="2" t="str">
        <f t="shared" si="1"/>
        <v>Infant / Toddler</v>
      </c>
    </row>
    <row r="5" spans="1:11" x14ac:dyDescent="0.25">
      <c r="A5" s="4" t="s">
        <v>20</v>
      </c>
      <c r="B5" s="4" t="s">
        <v>21</v>
      </c>
      <c r="C5" s="4" t="s">
        <v>12</v>
      </c>
      <c r="D5" s="4" t="s">
        <v>16</v>
      </c>
      <c r="E5" s="4" t="s">
        <v>14</v>
      </c>
      <c r="F5" s="4">
        <v>42</v>
      </c>
      <c r="G5" s="8">
        <v>133591</v>
      </c>
      <c r="H5" s="4">
        <v>12</v>
      </c>
      <c r="I5" s="4">
        <v>73</v>
      </c>
      <c r="J5" s="2" t="str">
        <f t="shared" si="0"/>
        <v>High Cost</v>
      </c>
      <c r="K5" s="2" t="str">
        <f t="shared" si="1"/>
        <v>Adult</v>
      </c>
    </row>
    <row r="6" spans="1:11" x14ac:dyDescent="0.25">
      <c r="A6" s="4" t="s">
        <v>22</v>
      </c>
      <c r="B6" s="4" t="s">
        <v>23</v>
      </c>
      <c r="C6" s="4" t="s">
        <v>19</v>
      </c>
      <c r="D6" s="4" t="s">
        <v>24</v>
      </c>
      <c r="E6" s="4" t="s">
        <v>14</v>
      </c>
      <c r="F6" s="4">
        <v>73</v>
      </c>
      <c r="G6" s="8">
        <v>163495</v>
      </c>
      <c r="H6" s="4">
        <v>24</v>
      </c>
      <c r="I6" s="4">
        <v>53</v>
      </c>
      <c r="J6" s="2" t="str">
        <f t="shared" si="0"/>
        <v>High Cost</v>
      </c>
      <c r="K6" s="2" t="str">
        <f t="shared" si="1"/>
        <v>Senior</v>
      </c>
    </row>
    <row r="7" spans="1:11" x14ac:dyDescent="0.25">
      <c r="A7" s="4" t="s">
        <v>25</v>
      </c>
      <c r="B7" s="4" t="s">
        <v>26</v>
      </c>
      <c r="C7" s="4" t="s">
        <v>27</v>
      </c>
      <c r="D7" s="4" t="s">
        <v>24</v>
      </c>
      <c r="E7" s="4" t="s">
        <v>9</v>
      </c>
      <c r="F7" s="4">
        <v>31</v>
      </c>
      <c r="G7" s="8">
        <v>176667</v>
      </c>
      <c r="H7" s="4">
        <v>13</v>
      </c>
      <c r="I7" s="4">
        <v>73</v>
      </c>
      <c r="J7" s="2" t="str">
        <f t="shared" si="0"/>
        <v>High Cost</v>
      </c>
      <c r="K7" s="2" t="str">
        <f t="shared" si="1"/>
        <v>Adult</v>
      </c>
    </row>
    <row r="8" spans="1:11" x14ac:dyDescent="0.25">
      <c r="A8" s="4" t="s">
        <v>28</v>
      </c>
      <c r="B8" s="4" t="s">
        <v>26</v>
      </c>
      <c r="C8" s="4" t="s">
        <v>19</v>
      </c>
      <c r="D8" s="4" t="s">
        <v>11</v>
      </c>
      <c r="E8" s="4" t="s">
        <v>14</v>
      </c>
      <c r="F8" s="4">
        <v>69</v>
      </c>
      <c r="G8" s="8">
        <v>22784</v>
      </c>
      <c r="H8" s="4">
        <v>24</v>
      </c>
      <c r="I8" s="4">
        <v>57</v>
      </c>
      <c r="J8" s="2" t="str">
        <f t="shared" si="0"/>
        <v>Low Cost</v>
      </c>
      <c r="K8" s="2" t="str">
        <f t="shared" si="1"/>
        <v>Senior</v>
      </c>
    </row>
    <row r="9" spans="1:11" x14ac:dyDescent="0.25">
      <c r="A9" s="4" t="s">
        <v>29</v>
      </c>
      <c r="B9" s="4" t="s">
        <v>23</v>
      </c>
      <c r="C9" s="4" t="s">
        <v>12</v>
      </c>
      <c r="D9" s="4" t="s">
        <v>24</v>
      </c>
      <c r="E9" s="4" t="s">
        <v>9</v>
      </c>
      <c r="F9" s="4">
        <v>34</v>
      </c>
      <c r="G9" s="8">
        <v>131608</v>
      </c>
      <c r="H9" s="4">
        <v>4</v>
      </c>
      <c r="I9" s="4">
        <v>77</v>
      </c>
      <c r="J9" s="2" t="str">
        <f t="shared" si="0"/>
        <v>High Cost</v>
      </c>
      <c r="K9" s="2" t="str">
        <f t="shared" si="1"/>
        <v>Adult</v>
      </c>
    </row>
    <row r="10" spans="1:11" x14ac:dyDescent="0.25">
      <c r="A10" s="4" t="s">
        <v>30</v>
      </c>
      <c r="B10" s="4" t="s">
        <v>15</v>
      </c>
      <c r="C10" s="4" t="s">
        <v>32</v>
      </c>
      <c r="D10" s="4" t="s">
        <v>31</v>
      </c>
      <c r="E10" s="4" t="s">
        <v>14</v>
      </c>
      <c r="F10" s="4">
        <v>54</v>
      </c>
      <c r="G10" s="8">
        <v>139591</v>
      </c>
      <c r="H10" s="4">
        <v>23</v>
      </c>
      <c r="I10" s="4">
        <v>95</v>
      </c>
      <c r="J10" s="2" t="str">
        <f t="shared" si="0"/>
        <v>High Cost</v>
      </c>
      <c r="K10" s="2" t="str">
        <f t="shared" si="1"/>
        <v>Middle-aged</v>
      </c>
    </row>
    <row r="11" spans="1:11" x14ac:dyDescent="0.25">
      <c r="A11" s="4" t="s">
        <v>33</v>
      </c>
      <c r="B11" s="4" t="s">
        <v>26</v>
      </c>
      <c r="C11" s="4" t="s">
        <v>32</v>
      </c>
      <c r="D11" s="4" t="s">
        <v>16</v>
      </c>
      <c r="E11" s="4" t="s">
        <v>14</v>
      </c>
      <c r="F11" s="4">
        <v>29</v>
      </c>
      <c r="G11" s="8">
        <v>166033</v>
      </c>
      <c r="H11" s="4">
        <v>27</v>
      </c>
      <c r="I11" s="4">
        <v>74</v>
      </c>
      <c r="J11" s="2" t="str">
        <f t="shared" si="0"/>
        <v>High Cost</v>
      </c>
      <c r="K11" s="2" t="str">
        <f t="shared" si="1"/>
        <v>Young Adult</v>
      </c>
    </row>
    <row r="12" spans="1:11" x14ac:dyDescent="0.25">
      <c r="A12" s="4" t="s">
        <v>34</v>
      </c>
      <c r="B12" s="4" t="s">
        <v>15</v>
      </c>
      <c r="C12" s="4" t="s">
        <v>32</v>
      </c>
      <c r="D12" s="4" t="s">
        <v>16</v>
      </c>
      <c r="E12" s="4" t="s">
        <v>9</v>
      </c>
      <c r="F12" s="4">
        <v>9</v>
      </c>
      <c r="G12" s="8">
        <v>88354</v>
      </c>
      <c r="H12" s="4">
        <v>6</v>
      </c>
      <c r="I12" s="4">
        <v>84</v>
      </c>
      <c r="J12" s="2" t="str">
        <f t="shared" si="0"/>
        <v>Low Cost</v>
      </c>
      <c r="K12" s="2" t="str">
        <f t="shared" si="1"/>
        <v>Child</v>
      </c>
    </row>
    <row r="13" spans="1:11" x14ac:dyDescent="0.25">
      <c r="A13" s="4" t="s">
        <v>35</v>
      </c>
      <c r="B13" s="4" t="s">
        <v>36</v>
      </c>
      <c r="C13" s="4" t="s">
        <v>19</v>
      </c>
      <c r="D13" s="4" t="s">
        <v>16</v>
      </c>
      <c r="E13" s="4" t="s">
        <v>14</v>
      </c>
      <c r="F13" s="4">
        <v>80</v>
      </c>
      <c r="G13" s="8">
        <v>195118</v>
      </c>
      <c r="H13" s="4">
        <v>26</v>
      </c>
      <c r="I13" s="4">
        <v>59</v>
      </c>
      <c r="J13" s="2" t="str">
        <f t="shared" si="0"/>
        <v>High Cost</v>
      </c>
      <c r="K13" s="2" t="str">
        <f t="shared" si="1"/>
        <v>Elderly</v>
      </c>
    </row>
    <row r="14" spans="1:11" x14ac:dyDescent="0.25">
      <c r="A14" s="4" t="s">
        <v>37</v>
      </c>
      <c r="B14" s="4" t="s">
        <v>10</v>
      </c>
      <c r="C14" s="4" t="s">
        <v>19</v>
      </c>
      <c r="D14" s="4" t="s">
        <v>18</v>
      </c>
      <c r="E14" s="4" t="s">
        <v>14</v>
      </c>
      <c r="F14" s="4">
        <v>50</v>
      </c>
      <c r="G14" s="8">
        <v>47354</v>
      </c>
      <c r="H14" s="4">
        <v>19</v>
      </c>
      <c r="I14" s="4">
        <v>64</v>
      </c>
      <c r="J14" s="2" t="str">
        <f t="shared" si="0"/>
        <v>Low Cost</v>
      </c>
      <c r="K14" s="2" t="str">
        <f t="shared" si="1"/>
        <v>Middle-aged</v>
      </c>
    </row>
    <row r="15" spans="1:11" x14ac:dyDescent="0.25">
      <c r="A15" s="4" t="s">
        <v>38</v>
      </c>
      <c r="B15" s="4" t="s">
        <v>21</v>
      </c>
      <c r="C15" s="4" t="s">
        <v>19</v>
      </c>
      <c r="D15" s="4" t="s">
        <v>31</v>
      </c>
      <c r="E15" s="4" t="s">
        <v>14</v>
      </c>
      <c r="F15" s="4">
        <v>82</v>
      </c>
      <c r="G15" s="8">
        <v>191304</v>
      </c>
      <c r="H15" s="4">
        <v>13</v>
      </c>
      <c r="I15" s="4">
        <v>59</v>
      </c>
      <c r="J15" s="2" t="str">
        <f t="shared" si="0"/>
        <v>High Cost</v>
      </c>
      <c r="K15" s="2" t="str">
        <f t="shared" si="1"/>
        <v>Elderly</v>
      </c>
    </row>
    <row r="16" spans="1:11" x14ac:dyDescent="0.25">
      <c r="A16" s="4" t="s">
        <v>39</v>
      </c>
      <c r="B16" s="4" t="s">
        <v>36</v>
      </c>
      <c r="C16" s="4" t="s">
        <v>19</v>
      </c>
      <c r="D16" s="4" t="s">
        <v>18</v>
      </c>
      <c r="E16" s="4" t="s">
        <v>14</v>
      </c>
      <c r="F16" s="4">
        <v>9</v>
      </c>
      <c r="G16" s="8">
        <v>189177</v>
      </c>
      <c r="H16" s="4">
        <v>15</v>
      </c>
      <c r="I16" s="4">
        <v>64</v>
      </c>
      <c r="J16" s="2" t="str">
        <f t="shared" si="0"/>
        <v>High Cost</v>
      </c>
      <c r="K16" s="2" t="str">
        <f t="shared" si="1"/>
        <v>Child</v>
      </c>
    </row>
    <row r="17" spans="1:11" x14ac:dyDescent="0.25">
      <c r="A17" s="4" t="s">
        <v>40</v>
      </c>
      <c r="B17" s="4" t="s">
        <v>15</v>
      </c>
      <c r="C17" s="4" t="s">
        <v>19</v>
      </c>
      <c r="D17" s="4" t="s">
        <v>31</v>
      </c>
      <c r="E17" s="4" t="s">
        <v>41</v>
      </c>
      <c r="F17" s="4">
        <v>82</v>
      </c>
      <c r="G17" s="8">
        <v>98912</v>
      </c>
      <c r="H17" s="4">
        <v>7</v>
      </c>
      <c r="I17" s="4">
        <v>81</v>
      </c>
      <c r="J17" s="2" t="str">
        <f t="shared" si="0"/>
        <v>Low Cost</v>
      </c>
      <c r="K17" s="2" t="str">
        <f t="shared" si="1"/>
        <v>Elderly</v>
      </c>
    </row>
    <row r="18" spans="1:11" x14ac:dyDescent="0.25">
      <c r="A18" s="4" t="s">
        <v>42</v>
      </c>
      <c r="B18" s="4" t="s">
        <v>10</v>
      </c>
      <c r="C18" s="4" t="s">
        <v>12</v>
      </c>
      <c r="D18" s="4" t="s">
        <v>11</v>
      </c>
      <c r="E18" s="4" t="s">
        <v>9</v>
      </c>
      <c r="F18" s="4">
        <v>52</v>
      </c>
      <c r="G18" s="8">
        <v>104049</v>
      </c>
      <c r="H18" s="4">
        <v>6</v>
      </c>
      <c r="I18" s="4">
        <v>95</v>
      </c>
      <c r="J18" s="2" t="str">
        <f t="shared" si="0"/>
        <v>High Cost</v>
      </c>
      <c r="K18" s="2" t="str">
        <f t="shared" si="1"/>
        <v>Middle-aged</v>
      </c>
    </row>
    <row r="19" spans="1:11" x14ac:dyDescent="0.25">
      <c r="A19" s="4" t="s">
        <v>43</v>
      </c>
      <c r="B19" s="4" t="s">
        <v>10</v>
      </c>
      <c r="C19" s="4" t="s">
        <v>32</v>
      </c>
      <c r="D19" s="4" t="s">
        <v>18</v>
      </c>
      <c r="E19" s="4" t="s">
        <v>14</v>
      </c>
      <c r="F19" s="4">
        <v>29</v>
      </c>
      <c r="G19" s="8">
        <v>36424</v>
      </c>
      <c r="H19" s="4">
        <v>14</v>
      </c>
      <c r="I19" s="4">
        <v>94</v>
      </c>
      <c r="J19" s="2" t="str">
        <f t="shared" si="0"/>
        <v>Low Cost</v>
      </c>
      <c r="K19" s="2" t="str">
        <f t="shared" si="1"/>
        <v>Young Adult</v>
      </c>
    </row>
    <row r="20" spans="1:11" x14ac:dyDescent="0.25">
      <c r="A20" s="4" t="s">
        <v>44</v>
      </c>
      <c r="B20" s="4" t="s">
        <v>10</v>
      </c>
      <c r="C20" s="4" t="s">
        <v>32</v>
      </c>
      <c r="D20" s="4" t="s">
        <v>24</v>
      </c>
      <c r="E20" s="4" t="s">
        <v>14</v>
      </c>
      <c r="F20" s="4">
        <v>72</v>
      </c>
      <c r="G20" s="8">
        <v>132986</v>
      </c>
      <c r="H20" s="4">
        <v>20</v>
      </c>
      <c r="I20" s="4">
        <v>57</v>
      </c>
      <c r="J20" s="2" t="str">
        <f t="shared" si="0"/>
        <v>High Cost</v>
      </c>
      <c r="K20" s="2" t="str">
        <f t="shared" si="1"/>
        <v>Senior</v>
      </c>
    </row>
    <row r="21" spans="1:11" x14ac:dyDescent="0.25">
      <c r="A21" s="4" t="s">
        <v>45</v>
      </c>
      <c r="B21" s="4" t="s">
        <v>10</v>
      </c>
      <c r="C21" s="4" t="s">
        <v>27</v>
      </c>
      <c r="D21" s="4" t="s">
        <v>24</v>
      </c>
      <c r="E21" s="4" t="s">
        <v>41</v>
      </c>
      <c r="F21" s="4">
        <v>52</v>
      </c>
      <c r="G21" s="8">
        <v>62233</v>
      </c>
      <c r="H21" s="4">
        <v>13</v>
      </c>
      <c r="I21" s="4">
        <v>92</v>
      </c>
      <c r="J21" s="2" t="str">
        <f t="shared" si="0"/>
        <v>Low Cost</v>
      </c>
      <c r="K21" s="2" t="str">
        <f t="shared" si="1"/>
        <v>Middle-aged</v>
      </c>
    </row>
    <row r="22" spans="1:11" x14ac:dyDescent="0.25">
      <c r="A22" s="4" t="s">
        <v>46</v>
      </c>
      <c r="B22" s="4" t="s">
        <v>21</v>
      </c>
      <c r="C22" s="4" t="s">
        <v>12</v>
      </c>
      <c r="D22" s="4" t="s">
        <v>16</v>
      </c>
      <c r="E22" s="4" t="s">
        <v>9</v>
      </c>
      <c r="F22" s="4">
        <v>84</v>
      </c>
      <c r="G22" s="8">
        <v>57606</v>
      </c>
      <c r="H22" s="4">
        <v>11</v>
      </c>
      <c r="I22" s="4">
        <v>59</v>
      </c>
      <c r="J22" s="2" t="str">
        <f t="shared" si="0"/>
        <v>Low Cost</v>
      </c>
      <c r="K22" s="2" t="str">
        <f t="shared" si="1"/>
        <v>Elderly</v>
      </c>
    </row>
    <row r="23" spans="1:11" x14ac:dyDescent="0.25">
      <c r="A23" s="4" t="s">
        <v>47</v>
      </c>
      <c r="B23" s="4" t="s">
        <v>23</v>
      </c>
      <c r="C23" s="4" t="s">
        <v>32</v>
      </c>
      <c r="D23" s="4" t="s">
        <v>31</v>
      </c>
      <c r="E23" s="4" t="s">
        <v>14</v>
      </c>
      <c r="F23" s="4">
        <v>25</v>
      </c>
      <c r="G23" s="8">
        <v>140610</v>
      </c>
      <c r="H23" s="4">
        <v>13</v>
      </c>
      <c r="I23" s="4">
        <v>68</v>
      </c>
      <c r="J23" s="2" t="str">
        <f t="shared" si="0"/>
        <v>High Cost</v>
      </c>
      <c r="K23" s="2" t="str">
        <f t="shared" si="1"/>
        <v>Young Adult</v>
      </c>
    </row>
    <row r="24" spans="1:11" x14ac:dyDescent="0.25">
      <c r="A24" s="4" t="s">
        <v>48</v>
      </c>
      <c r="B24" s="4" t="s">
        <v>10</v>
      </c>
      <c r="C24" s="4" t="s">
        <v>27</v>
      </c>
      <c r="D24" s="4" t="s">
        <v>31</v>
      </c>
      <c r="E24" s="4" t="s">
        <v>9</v>
      </c>
      <c r="F24" s="4">
        <v>47</v>
      </c>
      <c r="G24" s="8">
        <v>78281</v>
      </c>
      <c r="H24" s="4">
        <v>17</v>
      </c>
      <c r="I24" s="4">
        <v>78</v>
      </c>
      <c r="J24" s="2" t="str">
        <f t="shared" si="0"/>
        <v>Low Cost</v>
      </c>
      <c r="K24" s="2" t="str">
        <f t="shared" si="1"/>
        <v>Middle-aged</v>
      </c>
    </row>
    <row r="25" spans="1:11" x14ac:dyDescent="0.25">
      <c r="A25" s="4" t="s">
        <v>49</v>
      </c>
      <c r="B25" s="4" t="s">
        <v>36</v>
      </c>
      <c r="C25" s="4" t="s">
        <v>12</v>
      </c>
      <c r="D25" s="4" t="s">
        <v>31</v>
      </c>
      <c r="E25" s="4" t="s">
        <v>14</v>
      </c>
      <c r="F25" s="4">
        <v>38</v>
      </c>
      <c r="G25" s="8">
        <v>66707</v>
      </c>
      <c r="H25" s="4">
        <v>19</v>
      </c>
      <c r="I25" s="4">
        <v>80</v>
      </c>
      <c r="J25" s="2" t="str">
        <f t="shared" si="0"/>
        <v>Low Cost</v>
      </c>
      <c r="K25" s="2" t="str">
        <f t="shared" si="1"/>
        <v>Adult</v>
      </c>
    </row>
    <row r="26" spans="1:11" x14ac:dyDescent="0.25">
      <c r="A26" s="4" t="s">
        <v>50</v>
      </c>
      <c r="B26" s="4" t="s">
        <v>21</v>
      </c>
      <c r="C26" s="4" t="s">
        <v>12</v>
      </c>
      <c r="D26" s="4" t="s">
        <v>11</v>
      </c>
      <c r="E26" s="4" t="s">
        <v>9</v>
      </c>
      <c r="F26" s="4">
        <v>64</v>
      </c>
      <c r="G26" s="8">
        <v>168778</v>
      </c>
      <c r="H26" s="4">
        <v>7</v>
      </c>
      <c r="I26" s="4">
        <v>90</v>
      </c>
      <c r="J26" s="2" t="str">
        <f t="shared" si="0"/>
        <v>High Cost</v>
      </c>
      <c r="K26" s="2" t="str">
        <f t="shared" si="1"/>
        <v>Senior</v>
      </c>
    </row>
    <row r="27" spans="1:11" x14ac:dyDescent="0.25">
      <c r="A27" s="4" t="s">
        <v>51</v>
      </c>
      <c r="B27" s="4" t="s">
        <v>23</v>
      </c>
      <c r="C27" s="4" t="s">
        <v>12</v>
      </c>
      <c r="D27" s="4" t="s">
        <v>24</v>
      </c>
      <c r="E27" s="4" t="s">
        <v>14</v>
      </c>
      <c r="F27" s="4">
        <v>60</v>
      </c>
      <c r="G27" s="8">
        <v>61181</v>
      </c>
      <c r="H27" s="4">
        <v>18</v>
      </c>
      <c r="I27" s="4">
        <v>86</v>
      </c>
      <c r="J27" s="2" t="str">
        <f t="shared" si="0"/>
        <v>Low Cost</v>
      </c>
      <c r="K27" s="2" t="str">
        <f t="shared" si="1"/>
        <v>Senior</v>
      </c>
    </row>
    <row r="28" spans="1:11" x14ac:dyDescent="0.25">
      <c r="A28" s="4" t="s">
        <v>52</v>
      </c>
      <c r="B28" s="4" t="s">
        <v>26</v>
      </c>
      <c r="C28" s="4" t="s">
        <v>32</v>
      </c>
      <c r="D28" s="4" t="s">
        <v>16</v>
      </c>
      <c r="E28" s="4" t="s">
        <v>9</v>
      </c>
      <c r="F28" s="4">
        <v>48</v>
      </c>
      <c r="G28" s="8">
        <v>99996</v>
      </c>
      <c r="H28" s="4">
        <v>17</v>
      </c>
      <c r="I28" s="4">
        <v>50</v>
      </c>
      <c r="J28" s="2" t="str">
        <f t="shared" si="0"/>
        <v>Low Cost</v>
      </c>
      <c r="K28" s="2" t="str">
        <f t="shared" si="1"/>
        <v>Middle-aged</v>
      </c>
    </row>
    <row r="29" spans="1:11" x14ac:dyDescent="0.25">
      <c r="A29" s="4" t="s">
        <v>53</v>
      </c>
      <c r="B29" s="4" t="s">
        <v>36</v>
      </c>
      <c r="C29" s="4" t="s">
        <v>19</v>
      </c>
      <c r="D29" s="4" t="s">
        <v>31</v>
      </c>
      <c r="E29" s="4" t="s">
        <v>9</v>
      </c>
      <c r="F29" s="4">
        <v>26</v>
      </c>
      <c r="G29" s="8">
        <v>26541</v>
      </c>
      <c r="H29" s="4">
        <v>15</v>
      </c>
      <c r="I29" s="4">
        <v>82</v>
      </c>
      <c r="J29" s="2" t="str">
        <f t="shared" si="0"/>
        <v>Low Cost</v>
      </c>
      <c r="K29" s="2" t="str">
        <f t="shared" si="1"/>
        <v>Young Adult</v>
      </c>
    </row>
    <row r="30" spans="1:11" x14ac:dyDescent="0.25">
      <c r="A30" s="4" t="s">
        <v>54</v>
      </c>
      <c r="B30" s="4" t="s">
        <v>26</v>
      </c>
      <c r="C30" s="4" t="s">
        <v>32</v>
      </c>
      <c r="D30" s="4" t="s">
        <v>31</v>
      </c>
      <c r="E30" s="4" t="s">
        <v>9</v>
      </c>
      <c r="F30" s="4">
        <v>70</v>
      </c>
      <c r="G30" s="8">
        <v>29017</v>
      </c>
      <c r="H30" s="4">
        <v>3</v>
      </c>
      <c r="I30" s="4">
        <v>82</v>
      </c>
      <c r="J30" s="2" t="str">
        <f t="shared" si="0"/>
        <v>Low Cost</v>
      </c>
      <c r="K30" s="2" t="str">
        <f t="shared" si="1"/>
        <v>Senior</v>
      </c>
    </row>
    <row r="31" spans="1:11" x14ac:dyDescent="0.25">
      <c r="A31" s="4" t="s">
        <v>55</v>
      </c>
      <c r="B31" s="4" t="s">
        <v>36</v>
      </c>
      <c r="C31" s="4" t="s">
        <v>19</v>
      </c>
      <c r="D31" s="4" t="s">
        <v>31</v>
      </c>
      <c r="E31" s="4" t="s">
        <v>14</v>
      </c>
      <c r="F31" s="4">
        <v>25</v>
      </c>
      <c r="G31" s="8">
        <v>56689</v>
      </c>
      <c r="H31" s="4">
        <v>19</v>
      </c>
      <c r="I31" s="4">
        <v>91</v>
      </c>
      <c r="J31" s="2" t="str">
        <f t="shared" si="0"/>
        <v>Low Cost</v>
      </c>
      <c r="K31" s="2" t="str">
        <f t="shared" si="1"/>
        <v>Young Adult</v>
      </c>
    </row>
    <row r="32" spans="1:11" x14ac:dyDescent="0.25">
      <c r="A32" s="4" t="s">
        <v>56</v>
      </c>
      <c r="B32" s="4" t="s">
        <v>23</v>
      </c>
      <c r="C32" s="4" t="s">
        <v>27</v>
      </c>
      <c r="D32" s="4" t="s">
        <v>18</v>
      </c>
      <c r="E32" s="4" t="s">
        <v>14</v>
      </c>
      <c r="F32" s="4">
        <v>75</v>
      </c>
      <c r="G32" s="8">
        <v>30104</v>
      </c>
      <c r="H32" s="4">
        <v>12</v>
      </c>
      <c r="I32" s="4">
        <v>63</v>
      </c>
      <c r="J32" s="2" t="str">
        <f t="shared" si="0"/>
        <v>Low Cost</v>
      </c>
      <c r="K32" s="2" t="str">
        <f t="shared" si="1"/>
        <v>Elderly</v>
      </c>
    </row>
    <row r="33" spans="1:11" x14ac:dyDescent="0.25">
      <c r="A33" s="4" t="s">
        <v>57</v>
      </c>
      <c r="B33" s="4" t="s">
        <v>26</v>
      </c>
      <c r="C33" s="4" t="s">
        <v>27</v>
      </c>
      <c r="D33" s="4" t="s">
        <v>31</v>
      </c>
      <c r="E33" s="4" t="s">
        <v>14</v>
      </c>
      <c r="F33" s="4">
        <v>64</v>
      </c>
      <c r="G33" s="8">
        <v>186428</v>
      </c>
      <c r="H33" s="4">
        <v>29</v>
      </c>
      <c r="I33" s="4">
        <v>51</v>
      </c>
      <c r="J33" s="2" t="str">
        <f t="shared" si="0"/>
        <v>High Cost</v>
      </c>
      <c r="K33" s="2" t="str">
        <f t="shared" si="1"/>
        <v>Senior</v>
      </c>
    </row>
    <row r="34" spans="1:11" x14ac:dyDescent="0.25">
      <c r="A34" s="4" t="s">
        <v>58</v>
      </c>
      <c r="B34" s="4" t="s">
        <v>10</v>
      </c>
      <c r="C34" s="4" t="s">
        <v>12</v>
      </c>
      <c r="D34" s="4" t="s">
        <v>11</v>
      </c>
      <c r="E34" s="4" t="s">
        <v>14</v>
      </c>
      <c r="F34" s="4">
        <v>43</v>
      </c>
      <c r="G34" s="8">
        <v>198390</v>
      </c>
      <c r="H34" s="4">
        <v>5</v>
      </c>
      <c r="I34" s="4">
        <v>63</v>
      </c>
      <c r="J34" s="2" t="str">
        <f t="shared" si="0"/>
        <v>High Cost</v>
      </c>
      <c r="K34" s="2" t="str">
        <f t="shared" si="1"/>
        <v>Adult</v>
      </c>
    </row>
    <row r="35" spans="1:11" x14ac:dyDescent="0.25">
      <c r="A35" s="4" t="s">
        <v>59</v>
      </c>
      <c r="B35" s="4" t="s">
        <v>26</v>
      </c>
      <c r="C35" s="4" t="s">
        <v>32</v>
      </c>
      <c r="D35" s="4" t="s">
        <v>16</v>
      </c>
      <c r="E35" s="4" t="s">
        <v>14</v>
      </c>
      <c r="F35" s="4">
        <v>73</v>
      </c>
      <c r="G35" s="8">
        <v>87668</v>
      </c>
      <c r="H35" s="4">
        <v>17</v>
      </c>
      <c r="I35" s="4">
        <v>56</v>
      </c>
      <c r="J35" s="2" t="str">
        <f t="shared" si="0"/>
        <v>Low Cost</v>
      </c>
      <c r="K35" s="2" t="str">
        <f t="shared" si="1"/>
        <v>Senior</v>
      </c>
    </row>
    <row r="36" spans="1:11" x14ac:dyDescent="0.25">
      <c r="A36" s="4" t="s">
        <v>60</v>
      </c>
      <c r="B36" s="4" t="s">
        <v>10</v>
      </c>
      <c r="C36" s="4" t="s">
        <v>32</v>
      </c>
      <c r="D36" s="4" t="s">
        <v>31</v>
      </c>
      <c r="E36" s="4" t="s">
        <v>14</v>
      </c>
      <c r="F36" s="4">
        <v>58</v>
      </c>
      <c r="G36" s="8">
        <v>192660</v>
      </c>
      <c r="H36" s="4">
        <v>16</v>
      </c>
      <c r="I36" s="4">
        <v>59</v>
      </c>
      <c r="J36" s="2" t="str">
        <f t="shared" si="0"/>
        <v>High Cost</v>
      </c>
      <c r="K36" s="2" t="str">
        <f t="shared" si="1"/>
        <v>Middle-aged</v>
      </c>
    </row>
    <row r="37" spans="1:11" x14ac:dyDescent="0.25">
      <c r="A37" s="4" t="s">
        <v>61</v>
      </c>
      <c r="B37" s="4" t="s">
        <v>36</v>
      </c>
      <c r="C37" s="4" t="s">
        <v>19</v>
      </c>
      <c r="D37" s="4" t="s">
        <v>18</v>
      </c>
      <c r="E37" s="4" t="s">
        <v>14</v>
      </c>
      <c r="F37" s="4">
        <v>10</v>
      </c>
      <c r="G37" s="8">
        <v>26986</v>
      </c>
      <c r="H37" s="4">
        <v>4</v>
      </c>
      <c r="I37" s="4">
        <v>87</v>
      </c>
      <c r="J37" s="2" t="str">
        <f t="shared" si="0"/>
        <v>Low Cost</v>
      </c>
      <c r="K37" s="2" t="str">
        <f t="shared" si="1"/>
        <v>Child</v>
      </c>
    </row>
    <row r="38" spans="1:11" x14ac:dyDescent="0.25">
      <c r="A38" s="4" t="s">
        <v>62</v>
      </c>
      <c r="B38" s="4" t="s">
        <v>21</v>
      </c>
      <c r="C38" s="4" t="s">
        <v>32</v>
      </c>
      <c r="D38" s="4" t="s">
        <v>24</v>
      </c>
      <c r="E38" s="4" t="s">
        <v>14</v>
      </c>
      <c r="F38" s="4">
        <v>37</v>
      </c>
      <c r="G38" s="8">
        <v>46357</v>
      </c>
      <c r="H38" s="4">
        <v>6</v>
      </c>
      <c r="I38" s="4">
        <v>91</v>
      </c>
      <c r="J38" s="2" t="str">
        <f t="shared" si="0"/>
        <v>Low Cost</v>
      </c>
      <c r="K38" s="2" t="str">
        <f t="shared" si="1"/>
        <v>Adult</v>
      </c>
    </row>
    <row r="39" spans="1:11" x14ac:dyDescent="0.25">
      <c r="A39" s="4" t="s">
        <v>63</v>
      </c>
      <c r="B39" s="4" t="s">
        <v>21</v>
      </c>
      <c r="C39" s="4" t="s">
        <v>27</v>
      </c>
      <c r="D39" s="4" t="s">
        <v>16</v>
      </c>
      <c r="E39" s="4" t="s">
        <v>9</v>
      </c>
      <c r="F39" s="4">
        <v>46</v>
      </c>
      <c r="G39" s="8">
        <v>134575</v>
      </c>
      <c r="H39" s="4">
        <v>7</v>
      </c>
      <c r="I39" s="4">
        <v>83</v>
      </c>
      <c r="J39" s="2" t="str">
        <f t="shared" si="0"/>
        <v>High Cost</v>
      </c>
      <c r="K39" s="2" t="str">
        <f t="shared" si="1"/>
        <v>Middle-aged</v>
      </c>
    </row>
    <row r="40" spans="1:11" x14ac:dyDescent="0.25">
      <c r="A40" s="4" t="s">
        <v>64</v>
      </c>
      <c r="B40" s="4" t="s">
        <v>36</v>
      </c>
      <c r="C40" s="4" t="s">
        <v>27</v>
      </c>
      <c r="D40" s="4" t="s">
        <v>18</v>
      </c>
      <c r="E40" s="4" t="s">
        <v>9</v>
      </c>
      <c r="F40" s="4">
        <v>82</v>
      </c>
      <c r="G40" s="8">
        <v>131767</v>
      </c>
      <c r="H40" s="4">
        <v>11</v>
      </c>
      <c r="I40" s="4">
        <v>82</v>
      </c>
      <c r="J40" s="2" t="str">
        <f t="shared" si="0"/>
        <v>High Cost</v>
      </c>
      <c r="K40" s="2" t="str">
        <f t="shared" si="1"/>
        <v>Elderly</v>
      </c>
    </row>
    <row r="41" spans="1:11" x14ac:dyDescent="0.25">
      <c r="A41" s="4" t="s">
        <v>65</v>
      </c>
      <c r="B41" s="4" t="s">
        <v>21</v>
      </c>
      <c r="C41" s="4" t="s">
        <v>27</v>
      </c>
      <c r="D41" s="4" t="s">
        <v>16</v>
      </c>
      <c r="E41" s="4" t="s">
        <v>14</v>
      </c>
      <c r="F41" s="4">
        <v>53</v>
      </c>
      <c r="G41" s="8">
        <v>62796</v>
      </c>
      <c r="H41" s="4">
        <v>8</v>
      </c>
      <c r="I41" s="4">
        <v>92</v>
      </c>
      <c r="J41" s="2" t="str">
        <f t="shared" si="0"/>
        <v>Low Cost</v>
      </c>
      <c r="K41" s="2" t="str">
        <f t="shared" si="1"/>
        <v>Middle-aged</v>
      </c>
    </row>
    <row r="42" spans="1:11" x14ac:dyDescent="0.25">
      <c r="A42" s="4" t="s">
        <v>66</v>
      </c>
      <c r="B42" s="4" t="s">
        <v>23</v>
      </c>
      <c r="C42" s="4" t="s">
        <v>32</v>
      </c>
      <c r="D42" s="4" t="s">
        <v>31</v>
      </c>
      <c r="E42" s="4" t="s">
        <v>9</v>
      </c>
      <c r="F42" s="4">
        <v>19</v>
      </c>
      <c r="G42" s="8">
        <v>21765</v>
      </c>
      <c r="H42" s="4">
        <v>20</v>
      </c>
      <c r="I42" s="4">
        <v>72</v>
      </c>
      <c r="J42" s="2" t="str">
        <f t="shared" si="0"/>
        <v>Low Cost</v>
      </c>
      <c r="K42" s="2" t="str">
        <f t="shared" si="1"/>
        <v>Teenager</v>
      </c>
    </row>
    <row r="43" spans="1:11" x14ac:dyDescent="0.25">
      <c r="A43" s="4" t="s">
        <v>67</v>
      </c>
      <c r="B43" s="4" t="s">
        <v>10</v>
      </c>
      <c r="C43" s="4" t="s">
        <v>27</v>
      </c>
      <c r="D43" s="4" t="s">
        <v>24</v>
      </c>
      <c r="E43" s="4" t="s">
        <v>9</v>
      </c>
      <c r="F43" s="4">
        <v>20</v>
      </c>
      <c r="G43" s="8">
        <v>192023</v>
      </c>
      <c r="H43" s="4">
        <v>14</v>
      </c>
      <c r="I43" s="4">
        <v>79</v>
      </c>
      <c r="J43" s="2" t="str">
        <f t="shared" si="0"/>
        <v>High Cost</v>
      </c>
      <c r="K43" s="2" t="str">
        <f t="shared" si="1"/>
        <v>Young Adult</v>
      </c>
    </row>
    <row r="44" spans="1:11" x14ac:dyDescent="0.25">
      <c r="A44" s="4" t="s">
        <v>68</v>
      </c>
      <c r="B44" s="4" t="s">
        <v>21</v>
      </c>
      <c r="C44" s="4" t="s">
        <v>19</v>
      </c>
      <c r="D44" s="4" t="s">
        <v>24</v>
      </c>
      <c r="E44" s="4" t="s">
        <v>9</v>
      </c>
      <c r="F44" s="4">
        <v>24</v>
      </c>
      <c r="G44" s="8">
        <v>161475</v>
      </c>
      <c r="H44" s="4">
        <v>18</v>
      </c>
      <c r="I44" s="4">
        <v>71</v>
      </c>
      <c r="J44" s="2" t="str">
        <f t="shared" si="0"/>
        <v>High Cost</v>
      </c>
      <c r="K44" s="2" t="str">
        <f t="shared" si="1"/>
        <v>Young Adult</v>
      </c>
    </row>
    <row r="45" spans="1:11" x14ac:dyDescent="0.25">
      <c r="A45" s="4" t="s">
        <v>69</v>
      </c>
      <c r="B45" s="4" t="s">
        <v>10</v>
      </c>
      <c r="C45" s="4" t="s">
        <v>19</v>
      </c>
      <c r="D45" s="4" t="s">
        <v>16</v>
      </c>
      <c r="E45" s="4" t="s">
        <v>14</v>
      </c>
      <c r="F45" s="4">
        <v>51</v>
      </c>
      <c r="G45" s="8">
        <v>48789</v>
      </c>
      <c r="H45" s="4">
        <v>30</v>
      </c>
      <c r="I45" s="4">
        <v>92</v>
      </c>
      <c r="J45" s="2" t="str">
        <f t="shared" si="0"/>
        <v>Low Cost</v>
      </c>
      <c r="K45" s="2" t="str">
        <f t="shared" si="1"/>
        <v>Middle-aged</v>
      </c>
    </row>
    <row r="46" spans="1:11" x14ac:dyDescent="0.25">
      <c r="A46" s="4" t="s">
        <v>70</v>
      </c>
      <c r="B46" s="4" t="s">
        <v>36</v>
      </c>
      <c r="C46" s="4" t="s">
        <v>32</v>
      </c>
      <c r="D46" s="4" t="s">
        <v>16</v>
      </c>
      <c r="E46" s="4" t="s">
        <v>9</v>
      </c>
      <c r="F46" s="4">
        <v>78</v>
      </c>
      <c r="G46" s="8">
        <v>124093</v>
      </c>
      <c r="H46" s="4">
        <v>21</v>
      </c>
      <c r="I46" s="4">
        <v>90</v>
      </c>
      <c r="J46" s="2" t="str">
        <f t="shared" si="0"/>
        <v>High Cost</v>
      </c>
      <c r="K46" s="2" t="str">
        <f t="shared" si="1"/>
        <v>Elderly</v>
      </c>
    </row>
    <row r="47" spans="1:11" x14ac:dyDescent="0.25">
      <c r="A47" s="4" t="s">
        <v>71</v>
      </c>
      <c r="B47" s="4" t="s">
        <v>15</v>
      </c>
      <c r="C47" s="4" t="s">
        <v>32</v>
      </c>
      <c r="D47" s="4" t="s">
        <v>31</v>
      </c>
      <c r="E47" s="4" t="s">
        <v>14</v>
      </c>
      <c r="F47" s="4">
        <v>47</v>
      </c>
      <c r="G47" s="8">
        <v>125840</v>
      </c>
      <c r="H47" s="4">
        <v>12</v>
      </c>
      <c r="I47" s="4">
        <v>74</v>
      </c>
      <c r="J47" s="2" t="str">
        <f t="shared" si="0"/>
        <v>High Cost</v>
      </c>
      <c r="K47" s="2" t="str">
        <f t="shared" si="1"/>
        <v>Middle-aged</v>
      </c>
    </row>
    <row r="48" spans="1:11" x14ac:dyDescent="0.25">
      <c r="A48" s="4" t="s">
        <v>72</v>
      </c>
      <c r="B48" s="4" t="s">
        <v>23</v>
      </c>
      <c r="C48" s="4" t="s">
        <v>32</v>
      </c>
      <c r="D48" s="4" t="s">
        <v>31</v>
      </c>
      <c r="E48" s="4" t="s">
        <v>14</v>
      </c>
      <c r="F48" s="4">
        <v>39</v>
      </c>
      <c r="G48" s="8">
        <v>98947</v>
      </c>
      <c r="H48" s="4">
        <v>16</v>
      </c>
      <c r="I48" s="4">
        <v>81</v>
      </c>
      <c r="J48" s="2" t="str">
        <f t="shared" si="0"/>
        <v>Low Cost</v>
      </c>
      <c r="K48" s="2" t="str">
        <f t="shared" si="1"/>
        <v>Adult</v>
      </c>
    </row>
    <row r="49" spans="1:11" x14ac:dyDescent="0.25">
      <c r="A49" s="4" t="s">
        <v>73</v>
      </c>
      <c r="B49" s="4" t="s">
        <v>23</v>
      </c>
      <c r="C49" s="4" t="s">
        <v>12</v>
      </c>
      <c r="D49" s="4" t="s">
        <v>24</v>
      </c>
      <c r="E49" s="4" t="s">
        <v>14</v>
      </c>
      <c r="F49" s="4">
        <v>22</v>
      </c>
      <c r="G49" s="8">
        <v>52656</v>
      </c>
      <c r="H49" s="4">
        <v>4</v>
      </c>
      <c r="I49" s="4">
        <v>66</v>
      </c>
      <c r="J49" s="2" t="str">
        <f t="shared" si="0"/>
        <v>Low Cost</v>
      </c>
      <c r="K49" s="2" t="str">
        <f t="shared" si="1"/>
        <v>Young Adult</v>
      </c>
    </row>
    <row r="50" spans="1:11" x14ac:dyDescent="0.25">
      <c r="A50" s="4" t="s">
        <v>74</v>
      </c>
      <c r="B50" s="4" t="s">
        <v>36</v>
      </c>
      <c r="C50" s="4" t="s">
        <v>32</v>
      </c>
      <c r="D50" s="4" t="s">
        <v>31</v>
      </c>
      <c r="E50" s="4" t="s">
        <v>14</v>
      </c>
      <c r="F50" s="4">
        <v>6</v>
      </c>
      <c r="G50" s="8">
        <v>186434</v>
      </c>
      <c r="H50" s="4">
        <v>15</v>
      </c>
      <c r="I50" s="4">
        <v>52</v>
      </c>
      <c r="J50" s="2" t="str">
        <f t="shared" si="0"/>
        <v>High Cost</v>
      </c>
      <c r="K50" s="2" t="str">
        <f t="shared" si="1"/>
        <v>Child</v>
      </c>
    </row>
    <row r="51" spans="1:11" x14ac:dyDescent="0.25">
      <c r="A51" s="4" t="s">
        <v>75</v>
      </c>
      <c r="B51" s="4" t="s">
        <v>26</v>
      </c>
      <c r="C51" s="4" t="s">
        <v>12</v>
      </c>
      <c r="D51" s="4" t="s">
        <v>24</v>
      </c>
      <c r="E51" s="4" t="s">
        <v>9</v>
      </c>
      <c r="F51" s="4">
        <v>15</v>
      </c>
      <c r="G51" s="8">
        <v>120240</v>
      </c>
      <c r="H51" s="4">
        <v>30</v>
      </c>
      <c r="I51" s="4">
        <v>81</v>
      </c>
      <c r="J51" s="2" t="str">
        <f t="shared" si="0"/>
        <v>High Cost</v>
      </c>
      <c r="K51" s="2" t="str">
        <f t="shared" si="1"/>
        <v>Teenager</v>
      </c>
    </row>
    <row r="52" spans="1:11" x14ac:dyDescent="0.25">
      <c r="A52" s="4" t="s">
        <v>76</v>
      </c>
      <c r="B52" s="4" t="s">
        <v>36</v>
      </c>
      <c r="C52" s="4" t="s">
        <v>27</v>
      </c>
      <c r="D52" s="4" t="s">
        <v>31</v>
      </c>
      <c r="E52" s="4" t="s">
        <v>9</v>
      </c>
      <c r="F52" s="4">
        <v>80</v>
      </c>
      <c r="G52" s="8">
        <v>39688</v>
      </c>
      <c r="H52" s="4">
        <v>26</v>
      </c>
      <c r="I52" s="4">
        <v>73</v>
      </c>
      <c r="J52" s="2" t="str">
        <f t="shared" si="0"/>
        <v>Low Cost</v>
      </c>
      <c r="K52" s="2" t="str">
        <f t="shared" si="1"/>
        <v>Elderly</v>
      </c>
    </row>
    <row r="53" spans="1:11" x14ac:dyDescent="0.25">
      <c r="A53" s="4" t="s">
        <v>77</v>
      </c>
      <c r="B53" s="4" t="s">
        <v>23</v>
      </c>
      <c r="C53" s="4" t="s">
        <v>32</v>
      </c>
      <c r="D53" s="4" t="s">
        <v>11</v>
      </c>
      <c r="E53" s="4" t="s">
        <v>9</v>
      </c>
      <c r="F53" s="4">
        <v>21</v>
      </c>
      <c r="G53" s="8">
        <v>101611</v>
      </c>
      <c r="H53" s="4">
        <v>27</v>
      </c>
      <c r="I53" s="4">
        <v>89</v>
      </c>
      <c r="J53" s="2" t="str">
        <f t="shared" si="0"/>
        <v>High Cost</v>
      </c>
      <c r="K53" s="2" t="str">
        <f t="shared" si="1"/>
        <v>Young Adult</v>
      </c>
    </row>
    <row r="54" spans="1:11" x14ac:dyDescent="0.25">
      <c r="A54" s="4" t="s">
        <v>78</v>
      </c>
      <c r="B54" s="4" t="s">
        <v>15</v>
      </c>
      <c r="C54" s="4" t="s">
        <v>19</v>
      </c>
      <c r="D54" s="4" t="s">
        <v>16</v>
      </c>
      <c r="E54" s="4" t="s">
        <v>9</v>
      </c>
      <c r="F54" s="4">
        <v>9</v>
      </c>
      <c r="G54" s="8">
        <v>190841</v>
      </c>
      <c r="H54" s="4">
        <v>7</v>
      </c>
      <c r="I54" s="4">
        <v>64</v>
      </c>
      <c r="J54" s="2" t="str">
        <f t="shared" si="0"/>
        <v>High Cost</v>
      </c>
      <c r="K54" s="2" t="str">
        <f t="shared" si="1"/>
        <v>Child</v>
      </c>
    </row>
    <row r="55" spans="1:11" x14ac:dyDescent="0.25">
      <c r="A55" s="4" t="s">
        <v>79</v>
      </c>
      <c r="B55" s="4" t="s">
        <v>23</v>
      </c>
      <c r="C55" s="4" t="s">
        <v>12</v>
      </c>
      <c r="D55" s="4" t="s">
        <v>18</v>
      </c>
      <c r="E55" s="4" t="s">
        <v>9</v>
      </c>
      <c r="F55" s="4">
        <v>79</v>
      </c>
      <c r="G55" s="8">
        <v>134086</v>
      </c>
      <c r="H55" s="4">
        <v>3</v>
      </c>
      <c r="I55" s="4">
        <v>67</v>
      </c>
      <c r="J55" s="2" t="str">
        <f t="shared" si="0"/>
        <v>High Cost</v>
      </c>
      <c r="K55" s="2" t="str">
        <f t="shared" si="1"/>
        <v>Elderly</v>
      </c>
    </row>
    <row r="56" spans="1:11" x14ac:dyDescent="0.25">
      <c r="A56" s="4" t="s">
        <v>80</v>
      </c>
      <c r="B56" s="4" t="s">
        <v>21</v>
      </c>
      <c r="C56" s="4" t="s">
        <v>27</v>
      </c>
      <c r="D56" s="4" t="s">
        <v>16</v>
      </c>
      <c r="E56" s="4" t="s">
        <v>9</v>
      </c>
      <c r="F56" s="4">
        <v>47</v>
      </c>
      <c r="G56" s="8">
        <v>176725</v>
      </c>
      <c r="H56" s="4">
        <v>15</v>
      </c>
      <c r="I56" s="4">
        <v>85</v>
      </c>
      <c r="J56" s="2" t="str">
        <f t="shared" si="0"/>
        <v>High Cost</v>
      </c>
      <c r="K56" s="2" t="str">
        <f t="shared" si="1"/>
        <v>Middle-aged</v>
      </c>
    </row>
    <row r="57" spans="1:11" x14ac:dyDescent="0.25">
      <c r="A57" s="4" t="s">
        <v>81</v>
      </c>
      <c r="B57" s="4" t="s">
        <v>15</v>
      </c>
      <c r="C57" s="4" t="s">
        <v>32</v>
      </c>
      <c r="D57" s="4" t="s">
        <v>18</v>
      </c>
      <c r="E57" s="4" t="s">
        <v>9</v>
      </c>
      <c r="F57" s="4">
        <v>72</v>
      </c>
      <c r="G57" s="8">
        <v>19696</v>
      </c>
      <c r="H57" s="4">
        <v>6</v>
      </c>
      <c r="I57" s="4">
        <v>93</v>
      </c>
      <c r="J57" s="2" t="str">
        <f t="shared" si="0"/>
        <v>Low Cost</v>
      </c>
      <c r="K57" s="2" t="str">
        <f t="shared" si="1"/>
        <v>Senior</v>
      </c>
    </row>
    <row r="58" spans="1:11" x14ac:dyDescent="0.25">
      <c r="A58" s="4" t="s">
        <v>82</v>
      </c>
      <c r="B58" s="4" t="s">
        <v>23</v>
      </c>
      <c r="C58" s="4" t="s">
        <v>12</v>
      </c>
      <c r="D58" s="4" t="s">
        <v>16</v>
      </c>
      <c r="E58" s="4" t="s">
        <v>14</v>
      </c>
      <c r="F58" s="4">
        <v>84</v>
      </c>
      <c r="G58" s="8">
        <v>150623</v>
      </c>
      <c r="H58" s="4">
        <v>5</v>
      </c>
      <c r="I58" s="4">
        <v>70</v>
      </c>
      <c r="J58" s="2" t="str">
        <f t="shared" si="0"/>
        <v>High Cost</v>
      </c>
      <c r="K58" s="2" t="str">
        <f t="shared" si="1"/>
        <v>Elderly</v>
      </c>
    </row>
    <row r="59" spans="1:11" x14ac:dyDescent="0.25">
      <c r="A59" s="4" t="s">
        <v>83</v>
      </c>
      <c r="B59" s="4" t="s">
        <v>26</v>
      </c>
      <c r="C59" s="4" t="s">
        <v>12</v>
      </c>
      <c r="D59" s="4" t="s">
        <v>24</v>
      </c>
      <c r="E59" s="4" t="s">
        <v>9</v>
      </c>
      <c r="F59" s="4">
        <v>41</v>
      </c>
      <c r="G59" s="8">
        <v>127535</v>
      </c>
      <c r="H59" s="4">
        <v>22</v>
      </c>
      <c r="I59" s="4">
        <v>81</v>
      </c>
      <c r="J59" s="2" t="str">
        <f t="shared" si="0"/>
        <v>High Cost</v>
      </c>
      <c r="K59" s="2" t="str">
        <f t="shared" si="1"/>
        <v>Adult</v>
      </c>
    </row>
    <row r="60" spans="1:11" x14ac:dyDescent="0.25">
      <c r="A60" s="4" t="s">
        <v>84</v>
      </c>
      <c r="B60" s="4" t="s">
        <v>21</v>
      </c>
      <c r="C60" s="4" t="s">
        <v>27</v>
      </c>
      <c r="D60" s="4" t="s">
        <v>31</v>
      </c>
      <c r="E60" s="4" t="s">
        <v>9</v>
      </c>
      <c r="F60" s="4">
        <v>63</v>
      </c>
      <c r="G60" s="8">
        <v>47622</v>
      </c>
      <c r="H60" s="4">
        <v>27</v>
      </c>
      <c r="I60" s="4">
        <v>91</v>
      </c>
      <c r="J60" s="2" t="str">
        <f t="shared" si="0"/>
        <v>Low Cost</v>
      </c>
      <c r="K60" s="2" t="str">
        <f t="shared" si="1"/>
        <v>Senior</v>
      </c>
    </row>
    <row r="61" spans="1:11" x14ac:dyDescent="0.25">
      <c r="A61" s="4" t="s">
        <v>85</v>
      </c>
      <c r="B61" s="4" t="s">
        <v>21</v>
      </c>
      <c r="C61" s="4" t="s">
        <v>27</v>
      </c>
      <c r="D61" s="4" t="s">
        <v>11</v>
      </c>
      <c r="E61" s="4" t="s">
        <v>9</v>
      </c>
      <c r="F61" s="4">
        <v>22</v>
      </c>
      <c r="G61" s="8">
        <v>152274</v>
      </c>
      <c r="H61" s="4">
        <v>17</v>
      </c>
      <c r="I61" s="4">
        <v>91</v>
      </c>
      <c r="J61" s="2" t="str">
        <f t="shared" si="0"/>
        <v>High Cost</v>
      </c>
      <c r="K61" s="2" t="str">
        <f t="shared" si="1"/>
        <v>Young Adult</v>
      </c>
    </row>
    <row r="62" spans="1:11" x14ac:dyDescent="0.25">
      <c r="A62" s="4" t="s">
        <v>86</v>
      </c>
      <c r="B62" s="4" t="s">
        <v>21</v>
      </c>
      <c r="C62" s="4" t="s">
        <v>32</v>
      </c>
      <c r="D62" s="4" t="s">
        <v>11</v>
      </c>
      <c r="E62" s="4" t="s">
        <v>9</v>
      </c>
      <c r="F62" s="4">
        <v>28</v>
      </c>
      <c r="G62" s="8">
        <v>172026</v>
      </c>
      <c r="H62" s="4">
        <v>28</v>
      </c>
      <c r="I62" s="4">
        <v>90</v>
      </c>
      <c r="J62" s="2" t="str">
        <f t="shared" si="0"/>
        <v>High Cost</v>
      </c>
      <c r="K62" s="2" t="str">
        <f t="shared" si="1"/>
        <v>Young Adult</v>
      </c>
    </row>
    <row r="63" spans="1:11" x14ac:dyDescent="0.25">
      <c r="A63" s="4" t="s">
        <v>87</v>
      </c>
      <c r="B63" s="4" t="s">
        <v>36</v>
      </c>
      <c r="C63" s="4" t="s">
        <v>27</v>
      </c>
      <c r="D63" s="4" t="s">
        <v>18</v>
      </c>
      <c r="E63" s="4" t="s">
        <v>14</v>
      </c>
      <c r="F63" s="4">
        <v>18</v>
      </c>
      <c r="G63" s="8">
        <v>91976</v>
      </c>
      <c r="H63" s="4">
        <v>21</v>
      </c>
      <c r="I63" s="4">
        <v>79</v>
      </c>
      <c r="J63" s="2" t="str">
        <f t="shared" si="0"/>
        <v>Low Cost</v>
      </c>
      <c r="K63" s="2" t="str">
        <f t="shared" si="1"/>
        <v>Teenager</v>
      </c>
    </row>
    <row r="64" spans="1:11" x14ac:dyDescent="0.25">
      <c r="A64" s="4" t="s">
        <v>88</v>
      </c>
      <c r="B64" s="4" t="s">
        <v>15</v>
      </c>
      <c r="C64" s="4" t="s">
        <v>27</v>
      </c>
      <c r="D64" s="4" t="s">
        <v>18</v>
      </c>
      <c r="E64" s="4" t="s">
        <v>9</v>
      </c>
      <c r="F64" s="4">
        <v>29</v>
      </c>
      <c r="G64" s="8">
        <v>184942</v>
      </c>
      <c r="H64" s="4">
        <v>4</v>
      </c>
      <c r="I64" s="4">
        <v>59</v>
      </c>
      <c r="J64" s="2" t="str">
        <f t="shared" si="0"/>
        <v>High Cost</v>
      </c>
      <c r="K64" s="2" t="str">
        <f t="shared" si="1"/>
        <v>Young Adult</v>
      </c>
    </row>
    <row r="65" spans="1:11" x14ac:dyDescent="0.25">
      <c r="A65" s="4" t="s">
        <v>89</v>
      </c>
      <c r="B65" s="4" t="s">
        <v>23</v>
      </c>
      <c r="C65" s="4" t="s">
        <v>27</v>
      </c>
      <c r="D65" s="4" t="s">
        <v>11</v>
      </c>
      <c r="E65" s="4" t="s">
        <v>9</v>
      </c>
      <c r="F65" s="4">
        <v>53</v>
      </c>
      <c r="G65" s="8">
        <v>192320</v>
      </c>
      <c r="H65" s="4">
        <v>3</v>
      </c>
      <c r="I65" s="4">
        <v>85</v>
      </c>
      <c r="J65" s="2" t="str">
        <f t="shared" si="0"/>
        <v>High Cost</v>
      </c>
      <c r="K65" s="2" t="str">
        <f t="shared" si="1"/>
        <v>Middle-aged</v>
      </c>
    </row>
    <row r="66" spans="1:11" x14ac:dyDescent="0.25">
      <c r="A66" s="4" t="s">
        <v>90</v>
      </c>
      <c r="B66" s="4" t="s">
        <v>10</v>
      </c>
      <c r="C66" s="4" t="s">
        <v>27</v>
      </c>
      <c r="D66" s="4" t="s">
        <v>16</v>
      </c>
      <c r="E66" s="4" t="s">
        <v>14</v>
      </c>
      <c r="F66" s="4">
        <v>9</v>
      </c>
      <c r="G66" s="8">
        <v>124494</v>
      </c>
      <c r="H66" s="4">
        <v>10</v>
      </c>
      <c r="I66" s="4">
        <v>81</v>
      </c>
      <c r="J66" s="2" t="str">
        <f t="shared" si="0"/>
        <v>High Cost</v>
      </c>
      <c r="K66" s="2" t="str">
        <f t="shared" si="1"/>
        <v>Child</v>
      </c>
    </row>
    <row r="67" spans="1:11" x14ac:dyDescent="0.25">
      <c r="A67" s="4" t="s">
        <v>91</v>
      </c>
      <c r="B67" s="4" t="s">
        <v>23</v>
      </c>
      <c r="C67" s="4" t="s">
        <v>27</v>
      </c>
      <c r="D67" s="4" t="s">
        <v>18</v>
      </c>
      <c r="E67" s="4" t="s">
        <v>9</v>
      </c>
      <c r="F67" s="4">
        <v>61</v>
      </c>
      <c r="G67" s="8">
        <v>183650</v>
      </c>
      <c r="H67" s="4">
        <v>5</v>
      </c>
      <c r="I67" s="4">
        <v>89</v>
      </c>
      <c r="J67" s="2" t="str">
        <f t="shared" ref="J67:J130" si="2">IF(G67&gt;100000, "High Cost", "Low Cost")</f>
        <v>High Cost</v>
      </c>
      <c r="K67" s="2" t="str">
        <f t="shared" ref="K67:K130" si="3">IF(F67&lt;=5,"Infant / Toddler",IF(F67&lt;=12,"Child",IF(F67&lt;=19,"Teenager",IF(F67&lt;=29,"Young Adult",IF(F67&lt;=44,"Adult",IF(F67&lt;=59,"Middle-aged",IF(F67&lt;=74,"Senior","Elderly")))))))</f>
        <v>Senior</v>
      </c>
    </row>
    <row r="68" spans="1:11" x14ac:dyDescent="0.25">
      <c r="A68" s="4" t="s">
        <v>92</v>
      </c>
      <c r="B68" s="4" t="s">
        <v>23</v>
      </c>
      <c r="C68" s="4" t="s">
        <v>27</v>
      </c>
      <c r="D68" s="4" t="s">
        <v>11</v>
      </c>
      <c r="E68" s="4" t="s">
        <v>14</v>
      </c>
      <c r="F68" s="4">
        <v>80</v>
      </c>
      <c r="G68" s="8">
        <v>63190</v>
      </c>
      <c r="H68" s="4">
        <v>28</v>
      </c>
      <c r="I68" s="4">
        <v>60</v>
      </c>
      <c r="J68" s="2" t="str">
        <f t="shared" si="2"/>
        <v>Low Cost</v>
      </c>
      <c r="K68" s="2" t="str">
        <f t="shared" si="3"/>
        <v>Elderly</v>
      </c>
    </row>
    <row r="69" spans="1:11" x14ac:dyDescent="0.25">
      <c r="A69" s="4" t="s">
        <v>93</v>
      </c>
      <c r="B69" s="4" t="s">
        <v>23</v>
      </c>
      <c r="C69" s="4" t="s">
        <v>19</v>
      </c>
      <c r="D69" s="4" t="s">
        <v>24</v>
      </c>
      <c r="E69" s="4" t="s">
        <v>14</v>
      </c>
      <c r="F69" s="4">
        <v>68</v>
      </c>
      <c r="G69" s="8">
        <v>155594</v>
      </c>
      <c r="H69" s="4">
        <v>7</v>
      </c>
      <c r="I69" s="4">
        <v>52</v>
      </c>
      <c r="J69" s="2" t="str">
        <f t="shared" si="2"/>
        <v>High Cost</v>
      </c>
      <c r="K69" s="2" t="str">
        <f t="shared" si="3"/>
        <v>Senior</v>
      </c>
    </row>
    <row r="70" spans="1:11" x14ac:dyDescent="0.25">
      <c r="A70" s="4" t="s">
        <v>94</v>
      </c>
      <c r="B70" s="4" t="s">
        <v>15</v>
      </c>
      <c r="C70" s="4" t="s">
        <v>19</v>
      </c>
      <c r="D70" s="4" t="s">
        <v>16</v>
      </c>
      <c r="E70" s="4" t="s">
        <v>14</v>
      </c>
      <c r="F70" s="4">
        <v>74</v>
      </c>
      <c r="G70" s="8">
        <v>106999</v>
      </c>
      <c r="H70" s="4">
        <v>7</v>
      </c>
      <c r="I70" s="4">
        <v>88</v>
      </c>
      <c r="J70" s="2" t="str">
        <f t="shared" si="2"/>
        <v>High Cost</v>
      </c>
      <c r="K70" s="2" t="str">
        <f t="shared" si="3"/>
        <v>Senior</v>
      </c>
    </row>
    <row r="71" spans="1:11" x14ac:dyDescent="0.25">
      <c r="A71" s="4" t="s">
        <v>95</v>
      </c>
      <c r="B71" s="4" t="s">
        <v>26</v>
      </c>
      <c r="C71" s="4" t="s">
        <v>19</v>
      </c>
      <c r="D71" s="4" t="s">
        <v>24</v>
      </c>
      <c r="E71" s="4" t="s">
        <v>9</v>
      </c>
      <c r="F71" s="4">
        <v>23</v>
      </c>
      <c r="G71" s="8">
        <v>70145</v>
      </c>
      <c r="H71" s="4">
        <v>9</v>
      </c>
      <c r="I71" s="4">
        <v>68</v>
      </c>
      <c r="J71" s="2" t="str">
        <f t="shared" si="2"/>
        <v>Low Cost</v>
      </c>
      <c r="K71" s="2" t="str">
        <f t="shared" si="3"/>
        <v>Young Adult</v>
      </c>
    </row>
    <row r="72" spans="1:11" x14ac:dyDescent="0.25">
      <c r="A72" s="4" t="s">
        <v>96</v>
      </c>
      <c r="B72" s="4" t="s">
        <v>10</v>
      </c>
      <c r="C72" s="4" t="s">
        <v>19</v>
      </c>
      <c r="D72" s="4" t="s">
        <v>31</v>
      </c>
      <c r="E72" s="4" t="s">
        <v>14</v>
      </c>
      <c r="F72" s="4">
        <v>49</v>
      </c>
      <c r="G72" s="8">
        <v>100843</v>
      </c>
      <c r="H72" s="4">
        <v>9</v>
      </c>
      <c r="I72" s="4">
        <v>66</v>
      </c>
      <c r="J72" s="2" t="str">
        <f t="shared" si="2"/>
        <v>High Cost</v>
      </c>
      <c r="K72" s="2" t="str">
        <f t="shared" si="3"/>
        <v>Middle-aged</v>
      </c>
    </row>
    <row r="73" spans="1:11" x14ac:dyDescent="0.25">
      <c r="A73" s="4" t="s">
        <v>97</v>
      </c>
      <c r="B73" s="4" t="s">
        <v>26</v>
      </c>
      <c r="C73" s="4" t="s">
        <v>19</v>
      </c>
      <c r="D73" s="4" t="s">
        <v>11</v>
      </c>
      <c r="E73" s="4" t="s">
        <v>9</v>
      </c>
      <c r="F73" s="4">
        <v>72</v>
      </c>
      <c r="G73" s="8">
        <v>161955</v>
      </c>
      <c r="H73" s="4">
        <v>10</v>
      </c>
      <c r="I73" s="4">
        <v>91</v>
      </c>
      <c r="J73" s="2" t="str">
        <f t="shared" si="2"/>
        <v>High Cost</v>
      </c>
      <c r="K73" s="2" t="str">
        <f t="shared" si="3"/>
        <v>Senior</v>
      </c>
    </row>
    <row r="74" spans="1:11" x14ac:dyDescent="0.25">
      <c r="A74" s="4" t="s">
        <v>98</v>
      </c>
      <c r="B74" s="4" t="s">
        <v>10</v>
      </c>
      <c r="C74" s="4" t="s">
        <v>27</v>
      </c>
      <c r="D74" s="4" t="s">
        <v>16</v>
      </c>
      <c r="E74" s="4" t="s">
        <v>14</v>
      </c>
      <c r="F74" s="4">
        <v>53</v>
      </c>
      <c r="G74" s="8">
        <v>66194</v>
      </c>
      <c r="H74" s="4">
        <v>5</v>
      </c>
      <c r="I74" s="4">
        <v>52</v>
      </c>
      <c r="J74" s="2" t="str">
        <f t="shared" si="2"/>
        <v>Low Cost</v>
      </c>
      <c r="K74" s="2" t="str">
        <f t="shared" si="3"/>
        <v>Middle-aged</v>
      </c>
    </row>
    <row r="75" spans="1:11" x14ac:dyDescent="0.25">
      <c r="A75" s="4" t="s">
        <v>99</v>
      </c>
      <c r="B75" s="4" t="s">
        <v>23</v>
      </c>
      <c r="C75" s="4" t="s">
        <v>19</v>
      </c>
      <c r="D75" s="4" t="s">
        <v>18</v>
      </c>
      <c r="E75" s="4" t="s">
        <v>9</v>
      </c>
      <c r="F75" s="4">
        <v>71</v>
      </c>
      <c r="G75" s="8">
        <v>92027</v>
      </c>
      <c r="H75" s="4">
        <v>28</v>
      </c>
      <c r="I75" s="4">
        <v>76</v>
      </c>
      <c r="J75" s="2" t="str">
        <f t="shared" si="2"/>
        <v>Low Cost</v>
      </c>
      <c r="K75" s="2" t="str">
        <f t="shared" si="3"/>
        <v>Senior</v>
      </c>
    </row>
    <row r="76" spans="1:11" x14ac:dyDescent="0.25">
      <c r="A76" s="4" t="s">
        <v>100</v>
      </c>
      <c r="B76" s="4" t="s">
        <v>23</v>
      </c>
      <c r="C76" s="4" t="s">
        <v>32</v>
      </c>
      <c r="D76" s="4" t="s">
        <v>11</v>
      </c>
      <c r="E76" s="4" t="s">
        <v>14</v>
      </c>
      <c r="F76" s="4">
        <v>47</v>
      </c>
      <c r="G76" s="8">
        <v>35293</v>
      </c>
      <c r="H76" s="4">
        <v>9</v>
      </c>
      <c r="I76" s="4">
        <v>87</v>
      </c>
      <c r="J76" s="2" t="str">
        <f t="shared" si="2"/>
        <v>Low Cost</v>
      </c>
      <c r="K76" s="2" t="str">
        <f t="shared" si="3"/>
        <v>Middle-aged</v>
      </c>
    </row>
    <row r="77" spans="1:11" x14ac:dyDescent="0.25">
      <c r="A77" s="4" t="s">
        <v>101</v>
      </c>
      <c r="B77" s="4" t="s">
        <v>26</v>
      </c>
      <c r="C77" s="4" t="s">
        <v>32</v>
      </c>
      <c r="D77" s="4" t="s">
        <v>18</v>
      </c>
      <c r="E77" s="4" t="s">
        <v>14</v>
      </c>
      <c r="F77" s="4">
        <v>67</v>
      </c>
      <c r="G77" s="8">
        <v>146438</v>
      </c>
      <c r="H77" s="4">
        <v>7</v>
      </c>
      <c r="I77" s="4">
        <v>60</v>
      </c>
      <c r="J77" s="2" t="str">
        <f t="shared" si="2"/>
        <v>High Cost</v>
      </c>
      <c r="K77" s="2" t="str">
        <f t="shared" si="3"/>
        <v>Senior</v>
      </c>
    </row>
    <row r="78" spans="1:11" x14ac:dyDescent="0.25">
      <c r="A78" s="4" t="s">
        <v>102</v>
      </c>
      <c r="B78" s="4" t="s">
        <v>36</v>
      </c>
      <c r="C78" s="4" t="s">
        <v>12</v>
      </c>
      <c r="D78" s="4" t="s">
        <v>24</v>
      </c>
      <c r="E78" s="4" t="s">
        <v>14</v>
      </c>
      <c r="F78" s="4">
        <v>63</v>
      </c>
      <c r="G78" s="8">
        <v>162203</v>
      </c>
      <c r="H78" s="4">
        <v>11</v>
      </c>
      <c r="I78" s="4">
        <v>59</v>
      </c>
      <c r="J78" s="2" t="str">
        <f t="shared" si="2"/>
        <v>High Cost</v>
      </c>
      <c r="K78" s="2" t="str">
        <f t="shared" si="3"/>
        <v>Senior</v>
      </c>
    </row>
    <row r="79" spans="1:11" x14ac:dyDescent="0.25">
      <c r="A79" s="4" t="s">
        <v>103</v>
      </c>
      <c r="B79" s="4" t="s">
        <v>10</v>
      </c>
      <c r="C79" s="4" t="s">
        <v>19</v>
      </c>
      <c r="D79" s="4" t="s">
        <v>24</v>
      </c>
      <c r="E79" s="4" t="s">
        <v>9</v>
      </c>
      <c r="F79" s="4">
        <v>35</v>
      </c>
      <c r="G79" s="8">
        <v>179115</v>
      </c>
      <c r="H79" s="4">
        <v>28</v>
      </c>
      <c r="I79" s="4">
        <v>54</v>
      </c>
      <c r="J79" s="2" t="str">
        <f t="shared" si="2"/>
        <v>High Cost</v>
      </c>
      <c r="K79" s="2" t="str">
        <f t="shared" si="3"/>
        <v>Adult</v>
      </c>
    </row>
    <row r="80" spans="1:11" x14ac:dyDescent="0.25">
      <c r="A80" s="4" t="s">
        <v>104</v>
      </c>
      <c r="B80" s="4" t="s">
        <v>21</v>
      </c>
      <c r="C80" s="4" t="s">
        <v>19</v>
      </c>
      <c r="D80" s="4" t="s">
        <v>11</v>
      </c>
      <c r="E80" s="4" t="s">
        <v>9</v>
      </c>
      <c r="F80" s="4">
        <v>9</v>
      </c>
      <c r="G80" s="8">
        <v>146103</v>
      </c>
      <c r="H80" s="4">
        <v>24</v>
      </c>
      <c r="I80" s="4">
        <v>85</v>
      </c>
      <c r="J80" s="2" t="str">
        <f t="shared" si="2"/>
        <v>High Cost</v>
      </c>
      <c r="K80" s="2" t="str">
        <f t="shared" si="3"/>
        <v>Child</v>
      </c>
    </row>
    <row r="81" spans="1:11" x14ac:dyDescent="0.25">
      <c r="A81" s="4" t="s">
        <v>105</v>
      </c>
      <c r="B81" s="4" t="s">
        <v>10</v>
      </c>
      <c r="C81" s="4" t="s">
        <v>32</v>
      </c>
      <c r="D81" s="4" t="s">
        <v>18</v>
      </c>
      <c r="E81" s="4" t="s">
        <v>14</v>
      </c>
      <c r="F81" s="4">
        <v>36</v>
      </c>
      <c r="G81" s="8">
        <v>119209</v>
      </c>
      <c r="H81" s="4">
        <v>17</v>
      </c>
      <c r="I81" s="4">
        <v>78</v>
      </c>
      <c r="J81" s="2" t="str">
        <f t="shared" si="2"/>
        <v>High Cost</v>
      </c>
      <c r="K81" s="2" t="str">
        <f t="shared" si="3"/>
        <v>Adult</v>
      </c>
    </row>
    <row r="82" spans="1:11" x14ac:dyDescent="0.25">
      <c r="A82" s="4" t="s">
        <v>106</v>
      </c>
      <c r="B82" s="4" t="s">
        <v>23</v>
      </c>
      <c r="C82" s="4" t="s">
        <v>32</v>
      </c>
      <c r="D82" s="4" t="s">
        <v>31</v>
      </c>
      <c r="E82" s="4" t="s">
        <v>14</v>
      </c>
      <c r="F82" s="4">
        <v>60</v>
      </c>
      <c r="G82" s="8">
        <v>152482</v>
      </c>
      <c r="H82" s="4">
        <v>17</v>
      </c>
      <c r="I82" s="4">
        <v>67</v>
      </c>
      <c r="J82" s="2" t="str">
        <f t="shared" si="2"/>
        <v>High Cost</v>
      </c>
      <c r="K82" s="2" t="str">
        <f t="shared" si="3"/>
        <v>Senior</v>
      </c>
    </row>
    <row r="83" spans="1:11" x14ac:dyDescent="0.25">
      <c r="A83" s="4" t="s">
        <v>107</v>
      </c>
      <c r="B83" s="4" t="s">
        <v>15</v>
      </c>
      <c r="C83" s="4" t="s">
        <v>19</v>
      </c>
      <c r="D83" s="4" t="s">
        <v>24</v>
      </c>
      <c r="E83" s="4" t="s">
        <v>14</v>
      </c>
      <c r="F83" s="4">
        <v>25</v>
      </c>
      <c r="G83" s="8">
        <v>72067</v>
      </c>
      <c r="H83" s="4">
        <v>7</v>
      </c>
      <c r="I83" s="4">
        <v>62</v>
      </c>
      <c r="J83" s="2" t="str">
        <f t="shared" si="2"/>
        <v>Low Cost</v>
      </c>
      <c r="K83" s="2" t="str">
        <f t="shared" si="3"/>
        <v>Young Adult</v>
      </c>
    </row>
    <row r="84" spans="1:11" x14ac:dyDescent="0.25">
      <c r="A84" s="4" t="s">
        <v>108</v>
      </c>
      <c r="B84" s="4" t="s">
        <v>26</v>
      </c>
      <c r="C84" s="4" t="s">
        <v>12</v>
      </c>
      <c r="D84" s="4" t="s">
        <v>11</v>
      </c>
      <c r="E84" s="4" t="s">
        <v>9</v>
      </c>
      <c r="F84" s="4">
        <v>3</v>
      </c>
      <c r="G84" s="8">
        <v>76800</v>
      </c>
      <c r="H84" s="4">
        <v>7</v>
      </c>
      <c r="I84" s="4">
        <v>92</v>
      </c>
      <c r="J84" s="2" t="str">
        <f t="shared" si="2"/>
        <v>Low Cost</v>
      </c>
      <c r="K84" s="2" t="str">
        <f t="shared" si="3"/>
        <v>Infant / Toddler</v>
      </c>
    </row>
    <row r="85" spans="1:11" x14ac:dyDescent="0.25">
      <c r="A85" s="4" t="s">
        <v>109</v>
      </c>
      <c r="B85" s="4" t="s">
        <v>23</v>
      </c>
      <c r="C85" s="4" t="s">
        <v>27</v>
      </c>
      <c r="D85" s="4" t="s">
        <v>31</v>
      </c>
      <c r="E85" s="4" t="s">
        <v>14</v>
      </c>
      <c r="F85" s="4">
        <v>79</v>
      </c>
      <c r="G85" s="8">
        <v>190486</v>
      </c>
      <c r="H85" s="4">
        <v>16</v>
      </c>
      <c r="I85" s="4">
        <v>93</v>
      </c>
      <c r="J85" s="2" t="str">
        <f t="shared" si="2"/>
        <v>High Cost</v>
      </c>
      <c r="K85" s="2" t="str">
        <f t="shared" si="3"/>
        <v>Elderly</v>
      </c>
    </row>
    <row r="86" spans="1:11" x14ac:dyDescent="0.25">
      <c r="A86" s="4" t="s">
        <v>110</v>
      </c>
      <c r="B86" s="4" t="s">
        <v>10</v>
      </c>
      <c r="C86" s="4" t="s">
        <v>12</v>
      </c>
      <c r="D86" s="4" t="s">
        <v>24</v>
      </c>
      <c r="E86" s="4" t="s">
        <v>9</v>
      </c>
      <c r="F86" s="4">
        <v>17</v>
      </c>
      <c r="G86" s="8">
        <v>29965</v>
      </c>
      <c r="H86" s="4">
        <v>20</v>
      </c>
      <c r="I86" s="4">
        <v>57</v>
      </c>
      <c r="J86" s="2" t="str">
        <f t="shared" si="2"/>
        <v>Low Cost</v>
      </c>
      <c r="K86" s="2" t="str">
        <f t="shared" si="3"/>
        <v>Teenager</v>
      </c>
    </row>
    <row r="87" spans="1:11" x14ac:dyDescent="0.25">
      <c r="A87" s="4" t="s">
        <v>111</v>
      </c>
      <c r="B87" s="4" t="s">
        <v>23</v>
      </c>
      <c r="C87" s="4" t="s">
        <v>32</v>
      </c>
      <c r="D87" s="4" t="s">
        <v>16</v>
      </c>
      <c r="E87" s="4" t="s">
        <v>14</v>
      </c>
      <c r="F87" s="4">
        <v>26</v>
      </c>
      <c r="G87" s="8">
        <v>128566</v>
      </c>
      <c r="H87" s="4">
        <v>7</v>
      </c>
      <c r="I87" s="4">
        <v>92</v>
      </c>
      <c r="J87" s="2" t="str">
        <f t="shared" si="2"/>
        <v>High Cost</v>
      </c>
      <c r="K87" s="2" t="str">
        <f t="shared" si="3"/>
        <v>Young Adult</v>
      </c>
    </row>
    <row r="88" spans="1:11" x14ac:dyDescent="0.25">
      <c r="A88" s="4" t="s">
        <v>112</v>
      </c>
      <c r="B88" s="4" t="s">
        <v>21</v>
      </c>
      <c r="C88" s="4" t="s">
        <v>19</v>
      </c>
      <c r="D88" s="4" t="s">
        <v>31</v>
      </c>
      <c r="E88" s="4" t="s">
        <v>14</v>
      </c>
      <c r="F88" s="4">
        <v>11</v>
      </c>
      <c r="G88" s="8">
        <v>80089</v>
      </c>
      <c r="H88" s="4">
        <v>4</v>
      </c>
      <c r="I88" s="4">
        <v>79</v>
      </c>
      <c r="J88" s="2" t="str">
        <f t="shared" si="2"/>
        <v>Low Cost</v>
      </c>
      <c r="K88" s="2" t="str">
        <f t="shared" si="3"/>
        <v>Child</v>
      </c>
    </row>
    <row r="89" spans="1:11" x14ac:dyDescent="0.25">
      <c r="A89" s="4" t="s">
        <v>113</v>
      </c>
      <c r="B89" s="4" t="s">
        <v>21</v>
      </c>
      <c r="C89" s="4" t="s">
        <v>19</v>
      </c>
      <c r="D89" s="4" t="s">
        <v>24</v>
      </c>
      <c r="E89" s="4" t="s">
        <v>9</v>
      </c>
      <c r="F89" s="4">
        <v>62</v>
      </c>
      <c r="G89" s="8">
        <v>190461</v>
      </c>
      <c r="H89" s="4">
        <v>26</v>
      </c>
      <c r="I89" s="4">
        <v>65</v>
      </c>
      <c r="J89" s="2" t="str">
        <f t="shared" si="2"/>
        <v>High Cost</v>
      </c>
      <c r="K89" s="2" t="str">
        <f t="shared" si="3"/>
        <v>Senior</v>
      </c>
    </row>
    <row r="90" spans="1:11" x14ac:dyDescent="0.25">
      <c r="A90" s="4" t="s">
        <v>114</v>
      </c>
      <c r="B90" s="4" t="s">
        <v>23</v>
      </c>
      <c r="C90" s="4" t="s">
        <v>32</v>
      </c>
      <c r="D90" s="4" t="s">
        <v>18</v>
      </c>
      <c r="E90" s="4" t="s">
        <v>14</v>
      </c>
      <c r="F90" s="4">
        <v>15</v>
      </c>
      <c r="G90" s="8">
        <v>98934</v>
      </c>
      <c r="H90" s="4">
        <v>6</v>
      </c>
      <c r="I90" s="4">
        <v>91</v>
      </c>
      <c r="J90" s="2" t="str">
        <f t="shared" si="2"/>
        <v>Low Cost</v>
      </c>
      <c r="K90" s="2" t="str">
        <f t="shared" si="3"/>
        <v>Teenager</v>
      </c>
    </row>
    <row r="91" spans="1:11" x14ac:dyDescent="0.25">
      <c r="A91" s="4" t="s">
        <v>115</v>
      </c>
      <c r="B91" s="4" t="s">
        <v>15</v>
      </c>
      <c r="C91" s="4" t="s">
        <v>19</v>
      </c>
      <c r="D91" s="4" t="s">
        <v>16</v>
      </c>
      <c r="E91" s="4" t="s">
        <v>14</v>
      </c>
      <c r="F91" s="4">
        <v>6</v>
      </c>
      <c r="G91" s="8">
        <v>24688</v>
      </c>
      <c r="H91" s="4">
        <v>19</v>
      </c>
      <c r="I91" s="4">
        <v>91</v>
      </c>
      <c r="J91" s="2" t="str">
        <f t="shared" si="2"/>
        <v>Low Cost</v>
      </c>
      <c r="K91" s="2" t="str">
        <f t="shared" si="3"/>
        <v>Child</v>
      </c>
    </row>
    <row r="92" spans="1:11" x14ac:dyDescent="0.25">
      <c r="A92" s="4" t="s">
        <v>116</v>
      </c>
      <c r="B92" s="4" t="s">
        <v>26</v>
      </c>
      <c r="C92" s="4" t="s">
        <v>19</v>
      </c>
      <c r="D92" s="4" t="s">
        <v>18</v>
      </c>
      <c r="E92" s="4" t="s">
        <v>9</v>
      </c>
      <c r="F92" s="4">
        <v>40</v>
      </c>
      <c r="G92" s="8">
        <v>54856</v>
      </c>
      <c r="H92" s="4">
        <v>13</v>
      </c>
      <c r="I92" s="4">
        <v>91</v>
      </c>
      <c r="J92" s="2" t="str">
        <f t="shared" si="2"/>
        <v>Low Cost</v>
      </c>
      <c r="K92" s="2" t="str">
        <f t="shared" si="3"/>
        <v>Adult</v>
      </c>
    </row>
    <row r="93" spans="1:11" x14ac:dyDescent="0.25">
      <c r="A93" s="4" t="s">
        <v>117</v>
      </c>
      <c r="B93" s="4" t="s">
        <v>26</v>
      </c>
      <c r="C93" s="4" t="s">
        <v>27</v>
      </c>
      <c r="D93" s="4" t="s">
        <v>16</v>
      </c>
      <c r="E93" s="4" t="s">
        <v>9</v>
      </c>
      <c r="F93" s="4">
        <v>28</v>
      </c>
      <c r="G93" s="8">
        <v>150371</v>
      </c>
      <c r="H93" s="4">
        <v>23</v>
      </c>
      <c r="I93" s="4">
        <v>71</v>
      </c>
      <c r="J93" s="2" t="str">
        <f t="shared" si="2"/>
        <v>High Cost</v>
      </c>
      <c r="K93" s="2" t="str">
        <f t="shared" si="3"/>
        <v>Young Adult</v>
      </c>
    </row>
    <row r="94" spans="1:11" x14ac:dyDescent="0.25">
      <c r="A94" s="4" t="s">
        <v>118</v>
      </c>
      <c r="B94" s="4" t="s">
        <v>23</v>
      </c>
      <c r="C94" s="4" t="s">
        <v>19</v>
      </c>
      <c r="D94" s="4" t="s">
        <v>18</v>
      </c>
      <c r="E94" s="4" t="s">
        <v>14</v>
      </c>
      <c r="F94" s="4">
        <v>13</v>
      </c>
      <c r="G94" s="8">
        <v>187266</v>
      </c>
      <c r="H94" s="4">
        <v>5</v>
      </c>
      <c r="I94" s="4">
        <v>92</v>
      </c>
      <c r="J94" s="2" t="str">
        <f t="shared" si="2"/>
        <v>High Cost</v>
      </c>
      <c r="K94" s="2" t="str">
        <f t="shared" si="3"/>
        <v>Teenager</v>
      </c>
    </row>
    <row r="95" spans="1:11" x14ac:dyDescent="0.25">
      <c r="A95" s="4" t="s">
        <v>119</v>
      </c>
      <c r="B95" s="4" t="s">
        <v>10</v>
      </c>
      <c r="C95" s="4" t="s">
        <v>12</v>
      </c>
      <c r="D95" s="4" t="s">
        <v>16</v>
      </c>
      <c r="E95" s="4" t="s">
        <v>9</v>
      </c>
      <c r="F95" s="4">
        <v>81</v>
      </c>
      <c r="G95" s="8">
        <v>84198</v>
      </c>
      <c r="H95" s="4">
        <v>16</v>
      </c>
      <c r="I95" s="4">
        <v>87</v>
      </c>
      <c r="J95" s="2" t="str">
        <f t="shared" si="2"/>
        <v>Low Cost</v>
      </c>
      <c r="K95" s="2" t="str">
        <f t="shared" si="3"/>
        <v>Elderly</v>
      </c>
    </row>
    <row r="96" spans="1:11" x14ac:dyDescent="0.25">
      <c r="A96" s="4" t="s">
        <v>120</v>
      </c>
      <c r="B96" s="4" t="s">
        <v>23</v>
      </c>
      <c r="C96" s="4" t="s">
        <v>32</v>
      </c>
      <c r="D96" s="4" t="s">
        <v>16</v>
      </c>
      <c r="E96" s="4" t="s">
        <v>9</v>
      </c>
      <c r="F96" s="4">
        <v>57</v>
      </c>
      <c r="G96" s="8">
        <v>55722</v>
      </c>
      <c r="H96" s="4">
        <v>4</v>
      </c>
      <c r="I96" s="4">
        <v>90</v>
      </c>
      <c r="J96" s="2" t="str">
        <f t="shared" si="2"/>
        <v>Low Cost</v>
      </c>
      <c r="K96" s="2" t="str">
        <f t="shared" si="3"/>
        <v>Middle-aged</v>
      </c>
    </row>
    <row r="97" spans="1:11" x14ac:dyDescent="0.25">
      <c r="A97" s="4" t="s">
        <v>121</v>
      </c>
      <c r="B97" s="4" t="s">
        <v>15</v>
      </c>
      <c r="C97" s="4" t="s">
        <v>12</v>
      </c>
      <c r="D97" s="4" t="s">
        <v>31</v>
      </c>
      <c r="E97" s="4" t="s">
        <v>9</v>
      </c>
      <c r="F97" s="4">
        <v>35</v>
      </c>
      <c r="G97" s="8">
        <v>186498</v>
      </c>
      <c r="H97" s="4">
        <v>14</v>
      </c>
      <c r="I97" s="4">
        <v>63</v>
      </c>
      <c r="J97" s="2" t="str">
        <f t="shared" si="2"/>
        <v>High Cost</v>
      </c>
      <c r="K97" s="2" t="str">
        <f t="shared" si="3"/>
        <v>Adult</v>
      </c>
    </row>
    <row r="98" spans="1:11" x14ac:dyDescent="0.25">
      <c r="A98" s="4" t="s">
        <v>122</v>
      </c>
      <c r="B98" s="4" t="s">
        <v>23</v>
      </c>
      <c r="C98" s="4" t="s">
        <v>19</v>
      </c>
      <c r="D98" s="4" t="s">
        <v>31</v>
      </c>
      <c r="E98" s="4" t="s">
        <v>9</v>
      </c>
      <c r="F98" s="4">
        <v>68</v>
      </c>
      <c r="G98" s="8">
        <v>162136</v>
      </c>
      <c r="H98" s="4">
        <v>27</v>
      </c>
      <c r="I98" s="4">
        <v>89</v>
      </c>
      <c r="J98" s="2" t="str">
        <f t="shared" si="2"/>
        <v>High Cost</v>
      </c>
      <c r="K98" s="2" t="str">
        <f t="shared" si="3"/>
        <v>Senior</v>
      </c>
    </row>
    <row r="99" spans="1:11" x14ac:dyDescent="0.25">
      <c r="A99" s="4" t="s">
        <v>123</v>
      </c>
      <c r="B99" s="4" t="s">
        <v>10</v>
      </c>
      <c r="C99" s="4" t="s">
        <v>27</v>
      </c>
      <c r="D99" s="4" t="s">
        <v>24</v>
      </c>
      <c r="E99" s="4" t="s">
        <v>14</v>
      </c>
      <c r="F99" s="4">
        <v>20</v>
      </c>
      <c r="G99" s="8">
        <v>26200</v>
      </c>
      <c r="H99" s="4">
        <v>13</v>
      </c>
      <c r="I99" s="4">
        <v>94</v>
      </c>
      <c r="J99" s="2" t="str">
        <f t="shared" si="2"/>
        <v>Low Cost</v>
      </c>
      <c r="K99" s="2" t="str">
        <f t="shared" si="3"/>
        <v>Young Adult</v>
      </c>
    </row>
    <row r="100" spans="1:11" x14ac:dyDescent="0.25">
      <c r="A100" s="4" t="s">
        <v>124</v>
      </c>
      <c r="B100" s="4" t="s">
        <v>26</v>
      </c>
      <c r="C100" s="4" t="s">
        <v>27</v>
      </c>
      <c r="D100" s="4" t="s">
        <v>18</v>
      </c>
      <c r="E100" s="4" t="s">
        <v>14</v>
      </c>
      <c r="F100" s="4">
        <v>81</v>
      </c>
      <c r="G100" s="8">
        <v>148284</v>
      </c>
      <c r="H100" s="4">
        <v>8</v>
      </c>
      <c r="I100" s="4">
        <v>68</v>
      </c>
      <c r="J100" s="2" t="str">
        <f t="shared" si="2"/>
        <v>High Cost</v>
      </c>
      <c r="K100" s="2" t="str">
        <f t="shared" si="3"/>
        <v>Elderly</v>
      </c>
    </row>
    <row r="101" spans="1:11" x14ac:dyDescent="0.25">
      <c r="A101" s="4" t="s">
        <v>125</v>
      </c>
      <c r="B101" s="4" t="s">
        <v>23</v>
      </c>
      <c r="C101" s="4" t="s">
        <v>27</v>
      </c>
      <c r="D101" s="4" t="s">
        <v>16</v>
      </c>
      <c r="E101" s="4" t="s">
        <v>9</v>
      </c>
      <c r="F101" s="4">
        <v>75</v>
      </c>
      <c r="G101" s="8">
        <v>92383</v>
      </c>
      <c r="H101" s="4">
        <v>14</v>
      </c>
      <c r="I101" s="4">
        <v>73</v>
      </c>
      <c r="J101" s="2" t="str">
        <f t="shared" si="2"/>
        <v>Low Cost</v>
      </c>
      <c r="K101" s="2" t="str">
        <f t="shared" si="3"/>
        <v>Elderly</v>
      </c>
    </row>
    <row r="102" spans="1:11" x14ac:dyDescent="0.25">
      <c r="A102" s="4" t="s">
        <v>126</v>
      </c>
      <c r="B102" s="4" t="s">
        <v>36</v>
      </c>
      <c r="C102" s="4" t="s">
        <v>19</v>
      </c>
      <c r="D102" s="4" t="s">
        <v>16</v>
      </c>
      <c r="E102" s="4" t="s">
        <v>9</v>
      </c>
      <c r="F102" s="4">
        <v>48</v>
      </c>
      <c r="G102" s="8">
        <v>35633</v>
      </c>
      <c r="H102" s="4">
        <v>20</v>
      </c>
      <c r="I102" s="4">
        <v>89</v>
      </c>
      <c r="J102" s="2" t="str">
        <f t="shared" si="2"/>
        <v>Low Cost</v>
      </c>
      <c r="K102" s="2" t="str">
        <f t="shared" si="3"/>
        <v>Middle-aged</v>
      </c>
    </row>
    <row r="103" spans="1:11" x14ac:dyDescent="0.25">
      <c r="A103" s="4" t="s">
        <v>127</v>
      </c>
      <c r="B103" s="4" t="s">
        <v>26</v>
      </c>
      <c r="C103" s="4" t="s">
        <v>32</v>
      </c>
      <c r="D103" s="4" t="s">
        <v>24</v>
      </c>
      <c r="E103" s="4" t="s">
        <v>14</v>
      </c>
      <c r="F103" s="4">
        <v>85</v>
      </c>
      <c r="G103" s="8">
        <v>150104</v>
      </c>
      <c r="H103" s="4">
        <v>21</v>
      </c>
      <c r="I103" s="4">
        <v>95</v>
      </c>
      <c r="J103" s="2" t="str">
        <f t="shared" si="2"/>
        <v>High Cost</v>
      </c>
      <c r="K103" s="2" t="str">
        <f t="shared" si="3"/>
        <v>Elderly</v>
      </c>
    </row>
    <row r="104" spans="1:11" x14ac:dyDescent="0.25">
      <c r="A104" s="4" t="s">
        <v>128</v>
      </c>
      <c r="B104" s="4" t="s">
        <v>15</v>
      </c>
      <c r="C104" s="4" t="s">
        <v>19</v>
      </c>
      <c r="D104" s="4" t="s">
        <v>16</v>
      </c>
      <c r="E104" s="4" t="s">
        <v>14</v>
      </c>
      <c r="F104" s="4">
        <v>23</v>
      </c>
      <c r="G104" s="8">
        <v>48056</v>
      </c>
      <c r="H104" s="4">
        <v>16</v>
      </c>
      <c r="I104" s="4">
        <v>76</v>
      </c>
      <c r="J104" s="2" t="str">
        <f t="shared" si="2"/>
        <v>Low Cost</v>
      </c>
      <c r="K104" s="2" t="str">
        <f t="shared" si="3"/>
        <v>Young Adult</v>
      </c>
    </row>
    <row r="105" spans="1:11" x14ac:dyDescent="0.25">
      <c r="A105" s="4" t="s">
        <v>129</v>
      </c>
      <c r="B105" s="4" t="s">
        <v>10</v>
      </c>
      <c r="C105" s="4" t="s">
        <v>32</v>
      </c>
      <c r="D105" s="4" t="s">
        <v>31</v>
      </c>
      <c r="E105" s="4" t="s">
        <v>14</v>
      </c>
      <c r="F105" s="4">
        <v>56</v>
      </c>
      <c r="G105" s="8">
        <v>44253</v>
      </c>
      <c r="H105" s="4">
        <v>23</v>
      </c>
      <c r="I105" s="4">
        <v>85</v>
      </c>
      <c r="J105" s="2" t="str">
        <f t="shared" si="2"/>
        <v>Low Cost</v>
      </c>
      <c r="K105" s="2" t="str">
        <f t="shared" si="3"/>
        <v>Middle-aged</v>
      </c>
    </row>
    <row r="106" spans="1:11" x14ac:dyDescent="0.25">
      <c r="A106" s="4" t="s">
        <v>130</v>
      </c>
      <c r="B106" s="4" t="s">
        <v>26</v>
      </c>
      <c r="C106" s="4" t="s">
        <v>12</v>
      </c>
      <c r="D106" s="4" t="s">
        <v>16</v>
      </c>
      <c r="E106" s="4" t="s">
        <v>14</v>
      </c>
      <c r="F106" s="4">
        <v>5</v>
      </c>
      <c r="G106" s="8">
        <v>138456</v>
      </c>
      <c r="H106" s="4">
        <v>10</v>
      </c>
      <c r="I106" s="4">
        <v>61</v>
      </c>
      <c r="J106" s="2" t="str">
        <f t="shared" si="2"/>
        <v>High Cost</v>
      </c>
      <c r="K106" s="2" t="str">
        <f t="shared" si="3"/>
        <v>Infant / Toddler</v>
      </c>
    </row>
    <row r="107" spans="1:11" x14ac:dyDescent="0.25">
      <c r="A107" s="4" t="s">
        <v>131</v>
      </c>
      <c r="B107" s="4" t="s">
        <v>36</v>
      </c>
      <c r="C107" s="4" t="s">
        <v>27</v>
      </c>
      <c r="D107" s="4" t="s">
        <v>31</v>
      </c>
      <c r="E107" s="4" t="s">
        <v>9</v>
      </c>
      <c r="F107" s="4">
        <v>58</v>
      </c>
      <c r="G107" s="8">
        <v>158525</v>
      </c>
      <c r="H107" s="4">
        <v>5</v>
      </c>
      <c r="I107" s="4">
        <v>72</v>
      </c>
      <c r="J107" s="2" t="str">
        <f t="shared" si="2"/>
        <v>High Cost</v>
      </c>
      <c r="K107" s="2" t="str">
        <f t="shared" si="3"/>
        <v>Middle-aged</v>
      </c>
    </row>
    <row r="108" spans="1:11" x14ac:dyDescent="0.25">
      <c r="A108" s="4" t="s">
        <v>132</v>
      </c>
      <c r="B108" s="4" t="s">
        <v>21</v>
      </c>
      <c r="C108" s="4" t="s">
        <v>19</v>
      </c>
      <c r="D108" s="4" t="s">
        <v>11</v>
      </c>
      <c r="E108" s="4" t="s">
        <v>9</v>
      </c>
      <c r="F108" s="4">
        <v>39</v>
      </c>
      <c r="G108" s="8">
        <v>38377</v>
      </c>
      <c r="H108" s="4">
        <v>4</v>
      </c>
      <c r="I108" s="4">
        <v>63</v>
      </c>
      <c r="J108" s="2" t="str">
        <f t="shared" si="2"/>
        <v>Low Cost</v>
      </c>
      <c r="K108" s="2" t="str">
        <f t="shared" si="3"/>
        <v>Adult</v>
      </c>
    </row>
    <row r="109" spans="1:11" x14ac:dyDescent="0.25">
      <c r="A109" s="4" t="s">
        <v>133</v>
      </c>
      <c r="B109" s="4" t="s">
        <v>23</v>
      </c>
      <c r="C109" s="4" t="s">
        <v>32</v>
      </c>
      <c r="D109" s="4" t="s">
        <v>24</v>
      </c>
      <c r="E109" s="4" t="s">
        <v>9</v>
      </c>
      <c r="F109" s="4">
        <v>42</v>
      </c>
      <c r="G109" s="8">
        <v>111388</v>
      </c>
      <c r="H109" s="4">
        <v>29</v>
      </c>
      <c r="I109" s="4">
        <v>64</v>
      </c>
      <c r="J109" s="2" t="str">
        <f t="shared" si="2"/>
        <v>High Cost</v>
      </c>
      <c r="K109" s="2" t="str">
        <f t="shared" si="3"/>
        <v>Adult</v>
      </c>
    </row>
    <row r="110" spans="1:11" x14ac:dyDescent="0.25">
      <c r="A110" s="4" t="s">
        <v>134</v>
      </c>
      <c r="B110" s="4" t="s">
        <v>26</v>
      </c>
      <c r="C110" s="4" t="s">
        <v>32</v>
      </c>
      <c r="D110" s="4" t="s">
        <v>31</v>
      </c>
      <c r="E110" s="4" t="s">
        <v>9</v>
      </c>
      <c r="F110" s="4">
        <v>29</v>
      </c>
      <c r="G110" s="8">
        <v>124056</v>
      </c>
      <c r="H110" s="4">
        <v>5</v>
      </c>
      <c r="I110" s="4">
        <v>68</v>
      </c>
      <c r="J110" s="2" t="str">
        <f t="shared" si="2"/>
        <v>High Cost</v>
      </c>
      <c r="K110" s="2" t="str">
        <f t="shared" si="3"/>
        <v>Young Adult</v>
      </c>
    </row>
    <row r="111" spans="1:11" x14ac:dyDescent="0.25">
      <c r="A111" s="4" t="s">
        <v>135</v>
      </c>
      <c r="B111" s="4" t="s">
        <v>10</v>
      </c>
      <c r="C111" s="4" t="s">
        <v>19</v>
      </c>
      <c r="D111" s="4" t="s">
        <v>31</v>
      </c>
      <c r="E111" s="4" t="s">
        <v>9</v>
      </c>
      <c r="F111" s="4">
        <v>45</v>
      </c>
      <c r="G111" s="8">
        <v>43096</v>
      </c>
      <c r="H111" s="4">
        <v>20</v>
      </c>
      <c r="I111" s="4">
        <v>61</v>
      </c>
      <c r="J111" s="2" t="str">
        <f t="shared" si="2"/>
        <v>Low Cost</v>
      </c>
      <c r="K111" s="2" t="str">
        <f t="shared" si="3"/>
        <v>Middle-aged</v>
      </c>
    </row>
    <row r="112" spans="1:11" x14ac:dyDescent="0.25">
      <c r="A112" s="4" t="s">
        <v>136</v>
      </c>
      <c r="B112" s="4" t="s">
        <v>21</v>
      </c>
      <c r="C112" s="4" t="s">
        <v>32</v>
      </c>
      <c r="D112" s="4" t="s">
        <v>31</v>
      </c>
      <c r="E112" s="4" t="s">
        <v>14</v>
      </c>
      <c r="F112" s="4">
        <v>60</v>
      </c>
      <c r="G112" s="8">
        <v>170881</v>
      </c>
      <c r="H112" s="4">
        <v>30</v>
      </c>
      <c r="I112" s="4">
        <v>82</v>
      </c>
      <c r="J112" s="2" t="str">
        <f t="shared" si="2"/>
        <v>High Cost</v>
      </c>
      <c r="K112" s="2" t="str">
        <f t="shared" si="3"/>
        <v>Senior</v>
      </c>
    </row>
    <row r="113" spans="1:11" x14ac:dyDescent="0.25">
      <c r="A113" s="4" t="s">
        <v>137</v>
      </c>
      <c r="B113" s="4" t="s">
        <v>10</v>
      </c>
      <c r="C113" s="4" t="s">
        <v>19</v>
      </c>
      <c r="D113" s="4" t="s">
        <v>18</v>
      </c>
      <c r="E113" s="4" t="s">
        <v>9</v>
      </c>
      <c r="F113" s="4">
        <v>83</v>
      </c>
      <c r="G113" s="8">
        <v>171323</v>
      </c>
      <c r="H113" s="4">
        <v>9</v>
      </c>
      <c r="I113" s="4">
        <v>68</v>
      </c>
      <c r="J113" s="2" t="str">
        <f t="shared" si="2"/>
        <v>High Cost</v>
      </c>
      <c r="K113" s="2" t="str">
        <f t="shared" si="3"/>
        <v>Elderly</v>
      </c>
    </row>
    <row r="114" spans="1:11" x14ac:dyDescent="0.25">
      <c r="A114" s="4" t="s">
        <v>138</v>
      </c>
      <c r="B114" s="4" t="s">
        <v>23</v>
      </c>
      <c r="C114" s="4" t="s">
        <v>32</v>
      </c>
      <c r="D114" s="4" t="s">
        <v>11</v>
      </c>
      <c r="E114" s="4" t="s">
        <v>9</v>
      </c>
      <c r="F114" s="4">
        <v>26</v>
      </c>
      <c r="G114" s="8">
        <v>132874</v>
      </c>
      <c r="H114" s="4">
        <v>26</v>
      </c>
      <c r="I114" s="4">
        <v>77</v>
      </c>
      <c r="J114" s="2" t="str">
        <f t="shared" si="2"/>
        <v>High Cost</v>
      </c>
      <c r="K114" s="2" t="str">
        <f t="shared" si="3"/>
        <v>Young Adult</v>
      </c>
    </row>
    <row r="115" spans="1:11" x14ac:dyDescent="0.25">
      <c r="A115" s="4" t="s">
        <v>139</v>
      </c>
      <c r="B115" s="4" t="s">
        <v>10</v>
      </c>
      <c r="C115" s="4" t="s">
        <v>32</v>
      </c>
      <c r="D115" s="4" t="s">
        <v>11</v>
      </c>
      <c r="E115" s="4" t="s">
        <v>9</v>
      </c>
      <c r="F115" s="4">
        <v>13</v>
      </c>
      <c r="G115" s="8">
        <v>169010</v>
      </c>
      <c r="H115" s="4">
        <v>11</v>
      </c>
      <c r="I115" s="4">
        <v>65</v>
      </c>
      <c r="J115" s="2" t="str">
        <f t="shared" si="2"/>
        <v>High Cost</v>
      </c>
      <c r="K115" s="2" t="str">
        <f t="shared" si="3"/>
        <v>Teenager</v>
      </c>
    </row>
    <row r="116" spans="1:11" x14ac:dyDescent="0.25">
      <c r="A116" s="4" t="s">
        <v>140</v>
      </c>
      <c r="B116" s="4" t="s">
        <v>36</v>
      </c>
      <c r="C116" s="4" t="s">
        <v>12</v>
      </c>
      <c r="D116" s="4" t="s">
        <v>18</v>
      </c>
      <c r="E116" s="4" t="s">
        <v>9</v>
      </c>
      <c r="F116" s="4">
        <v>44</v>
      </c>
      <c r="G116" s="8">
        <v>193516</v>
      </c>
      <c r="H116" s="4">
        <v>15</v>
      </c>
      <c r="I116" s="4">
        <v>66</v>
      </c>
      <c r="J116" s="2" t="str">
        <f t="shared" si="2"/>
        <v>High Cost</v>
      </c>
      <c r="K116" s="2" t="str">
        <f t="shared" si="3"/>
        <v>Adult</v>
      </c>
    </row>
    <row r="117" spans="1:11" x14ac:dyDescent="0.25">
      <c r="A117" s="4" t="s">
        <v>141</v>
      </c>
      <c r="B117" s="4" t="s">
        <v>15</v>
      </c>
      <c r="C117" s="4" t="s">
        <v>32</v>
      </c>
      <c r="D117" s="4" t="s">
        <v>11</v>
      </c>
      <c r="E117" s="4" t="s">
        <v>14</v>
      </c>
      <c r="F117" s="4">
        <v>70</v>
      </c>
      <c r="G117" s="8">
        <v>164581</v>
      </c>
      <c r="H117" s="4">
        <v>6</v>
      </c>
      <c r="I117" s="4">
        <v>66</v>
      </c>
      <c r="J117" s="2" t="str">
        <f t="shared" si="2"/>
        <v>High Cost</v>
      </c>
      <c r="K117" s="2" t="str">
        <f t="shared" si="3"/>
        <v>Senior</v>
      </c>
    </row>
    <row r="118" spans="1:11" x14ac:dyDescent="0.25">
      <c r="A118" s="4" t="s">
        <v>142</v>
      </c>
      <c r="B118" s="4" t="s">
        <v>15</v>
      </c>
      <c r="C118" s="4" t="s">
        <v>19</v>
      </c>
      <c r="D118" s="4" t="s">
        <v>16</v>
      </c>
      <c r="E118" s="4" t="s">
        <v>14</v>
      </c>
      <c r="F118" s="4">
        <v>81</v>
      </c>
      <c r="G118" s="8">
        <v>41495</v>
      </c>
      <c r="H118" s="4">
        <v>16</v>
      </c>
      <c r="I118" s="4">
        <v>90</v>
      </c>
      <c r="J118" s="2" t="str">
        <f t="shared" si="2"/>
        <v>Low Cost</v>
      </c>
      <c r="K118" s="2" t="str">
        <f t="shared" si="3"/>
        <v>Elderly</v>
      </c>
    </row>
    <row r="119" spans="1:11" x14ac:dyDescent="0.25">
      <c r="A119" s="4" t="s">
        <v>143</v>
      </c>
      <c r="B119" s="4" t="s">
        <v>15</v>
      </c>
      <c r="C119" s="4" t="s">
        <v>32</v>
      </c>
      <c r="D119" s="4" t="s">
        <v>18</v>
      </c>
      <c r="E119" s="4" t="s">
        <v>9</v>
      </c>
      <c r="F119" s="4">
        <v>81</v>
      </c>
      <c r="G119" s="8">
        <v>170672</v>
      </c>
      <c r="H119" s="4">
        <v>9</v>
      </c>
      <c r="I119" s="4">
        <v>56</v>
      </c>
      <c r="J119" s="2" t="str">
        <f t="shared" si="2"/>
        <v>High Cost</v>
      </c>
      <c r="K119" s="2" t="str">
        <f t="shared" si="3"/>
        <v>Elderly</v>
      </c>
    </row>
    <row r="120" spans="1:11" x14ac:dyDescent="0.25">
      <c r="A120" s="4" t="s">
        <v>144</v>
      </c>
      <c r="B120" s="4" t="s">
        <v>21</v>
      </c>
      <c r="C120" s="4" t="s">
        <v>32</v>
      </c>
      <c r="D120" s="4" t="s">
        <v>24</v>
      </c>
      <c r="E120" s="4" t="s">
        <v>9</v>
      </c>
      <c r="F120" s="4">
        <v>73</v>
      </c>
      <c r="G120" s="8">
        <v>27657</v>
      </c>
      <c r="H120" s="4">
        <v>17</v>
      </c>
      <c r="I120" s="4">
        <v>87</v>
      </c>
      <c r="J120" s="2" t="str">
        <f t="shared" si="2"/>
        <v>Low Cost</v>
      </c>
      <c r="K120" s="2" t="str">
        <f t="shared" si="3"/>
        <v>Senior</v>
      </c>
    </row>
    <row r="121" spans="1:11" x14ac:dyDescent="0.25">
      <c r="A121" s="4" t="s">
        <v>145</v>
      </c>
      <c r="B121" s="4" t="s">
        <v>10</v>
      </c>
      <c r="C121" s="4" t="s">
        <v>32</v>
      </c>
      <c r="D121" s="4" t="s">
        <v>11</v>
      </c>
      <c r="E121" s="4" t="s">
        <v>14</v>
      </c>
      <c r="F121" s="4">
        <v>5</v>
      </c>
      <c r="G121" s="8">
        <v>107526</v>
      </c>
      <c r="H121" s="4">
        <v>27</v>
      </c>
      <c r="I121" s="4">
        <v>70</v>
      </c>
      <c r="J121" s="2" t="str">
        <f t="shared" si="2"/>
        <v>High Cost</v>
      </c>
      <c r="K121" s="2" t="str">
        <f t="shared" si="3"/>
        <v>Infant / Toddler</v>
      </c>
    </row>
    <row r="122" spans="1:11" x14ac:dyDescent="0.25">
      <c r="A122" s="4" t="s">
        <v>146</v>
      </c>
      <c r="B122" s="4" t="s">
        <v>10</v>
      </c>
      <c r="C122" s="4" t="s">
        <v>12</v>
      </c>
      <c r="D122" s="4" t="s">
        <v>16</v>
      </c>
      <c r="E122" s="4" t="s">
        <v>9</v>
      </c>
      <c r="F122" s="4">
        <v>16</v>
      </c>
      <c r="G122" s="8">
        <v>132833</v>
      </c>
      <c r="H122" s="4">
        <v>21</v>
      </c>
      <c r="I122" s="4">
        <v>78</v>
      </c>
      <c r="J122" s="2" t="str">
        <f t="shared" si="2"/>
        <v>High Cost</v>
      </c>
      <c r="K122" s="2" t="str">
        <f t="shared" si="3"/>
        <v>Teenager</v>
      </c>
    </row>
    <row r="123" spans="1:11" x14ac:dyDescent="0.25">
      <c r="A123" s="4" t="s">
        <v>147</v>
      </c>
      <c r="B123" s="4" t="s">
        <v>23</v>
      </c>
      <c r="C123" s="4" t="s">
        <v>19</v>
      </c>
      <c r="D123" s="4" t="s">
        <v>16</v>
      </c>
      <c r="E123" s="4" t="s">
        <v>14</v>
      </c>
      <c r="F123" s="4">
        <v>3</v>
      </c>
      <c r="G123" s="8">
        <v>21639</v>
      </c>
      <c r="H123" s="4">
        <v>26</v>
      </c>
      <c r="I123" s="4">
        <v>70</v>
      </c>
      <c r="J123" s="2" t="str">
        <f t="shared" si="2"/>
        <v>Low Cost</v>
      </c>
      <c r="K123" s="2" t="str">
        <f t="shared" si="3"/>
        <v>Infant / Toddler</v>
      </c>
    </row>
    <row r="124" spans="1:11" x14ac:dyDescent="0.25">
      <c r="A124" s="4" t="s">
        <v>148</v>
      </c>
      <c r="B124" s="4" t="s">
        <v>36</v>
      </c>
      <c r="C124" s="4" t="s">
        <v>32</v>
      </c>
      <c r="D124" s="4" t="s">
        <v>11</v>
      </c>
      <c r="E124" s="4" t="s">
        <v>14</v>
      </c>
      <c r="F124" s="4">
        <v>27</v>
      </c>
      <c r="G124" s="8">
        <v>48499</v>
      </c>
      <c r="H124" s="4">
        <v>17</v>
      </c>
      <c r="I124" s="4">
        <v>95</v>
      </c>
      <c r="J124" s="2" t="str">
        <f t="shared" si="2"/>
        <v>Low Cost</v>
      </c>
      <c r="K124" s="2" t="str">
        <f t="shared" si="3"/>
        <v>Young Adult</v>
      </c>
    </row>
    <row r="125" spans="1:11" x14ac:dyDescent="0.25">
      <c r="A125" s="4" t="s">
        <v>149</v>
      </c>
      <c r="B125" s="4" t="s">
        <v>10</v>
      </c>
      <c r="C125" s="4" t="s">
        <v>27</v>
      </c>
      <c r="D125" s="4" t="s">
        <v>31</v>
      </c>
      <c r="E125" s="4" t="s">
        <v>9</v>
      </c>
      <c r="F125" s="4">
        <v>24</v>
      </c>
      <c r="G125" s="8">
        <v>176163</v>
      </c>
      <c r="H125" s="4">
        <v>29</v>
      </c>
      <c r="I125" s="4">
        <v>65</v>
      </c>
      <c r="J125" s="2" t="str">
        <f t="shared" si="2"/>
        <v>High Cost</v>
      </c>
      <c r="K125" s="2" t="str">
        <f t="shared" si="3"/>
        <v>Young Adult</v>
      </c>
    </row>
    <row r="126" spans="1:11" x14ac:dyDescent="0.25">
      <c r="A126" s="4" t="s">
        <v>150</v>
      </c>
      <c r="B126" s="4" t="s">
        <v>36</v>
      </c>
      <c r="C126" s="4" t="s">
        <v>27</v>
      </c>
      <c r="D126" s="4" t="s">
        <v>18</v>
      </c>
      <c r="E126" s="4" t="s">
        <v>14</v>
      </c>
      <c r="F126" s="4">
        <v>44</v>
      </c>
      <c r="G126" s="8">
        <v>44469</v>
      </c>
      <c r="H126" s="4">
        <v>4</v>
      </c>
      <c r="I126" s="4">
        <v>85</v>
      </c>
      <c r="J126" s="2" t="str">
        <f t="shared" si="2"/>
        <v>Low Cost</v>
      </c>
      <c r="K126" s="2" t="str">
        <f t="shared" si="3"/>
        <v>Adult</v>
      </c>
    </row>
    <row r="127" spans="1:11" x14ac:dyDescent="0.25">
      <c r="A127" s="4" t="s">
        <v>151</v>
      </c>
      <c r="B127" s="4" t="s">
        <v>36</v>
      </c>
      <c r="C127" s="4" t="s">
        <v>32</v>
      </c>
      <c r="D127" s="4" t="s">
        <v>16</v>
      </c>
      <c r="E127" s="4" t="s">
        <v>14</v>
      </c>
      <c r="F127" s="4">
        <v>50</v>
      </c>
      <c r="G127" s="8">
        <v>183513</v>
      </c>
      <c r="H127" s="4">
        <v>24</v>
      </c>
      <c r="I127" s="4">
        <v>83</v>
      </c>
      <c r="J127" s="2" t="str">
        <f t="shared" si="2"/>
        <v>High Cost</v>
      </c>
      <c r="K127" s="2" t="str">
        <f t="shared" si="3"/>
        <v>Middle-aged</v>
      </c>
    </row>
    <row r="128" spans="1:11" x14ac:dyDescent="0.25">
      <c r="A128" s="4" t="s">
        <v>152</v>
      </c>
      <c r="B128" s="4" t="s">
        <v>21</v>
      </c>
      <c r="C128" s="4" t="s">
        <v>19</v>
      </c>
      <c r="D128" s="4" t="s">
        <v>24</v>
      </c>
      <c r="E128" s="4" t="s">
        <v>9</v>
      </c>
      <c r="F128" s="4">
        <v>46</v>
      </c>
      <c r="G128" s="8">
        <v>21466</v>
      </c>
      <c r="H128" s="4">
        <v>16</v>
      </c>
      <c r="I128" s="4">
        <v>86</v>
      </c>
      <c r="J128" s="2" t="str">
        <f t="shared" si="2"/>
        <v>Low Cost</v>
      </c>
      <c r="K128" s="2" t="str">
        <f t="shared" si="3"/>
        <v>Middle-aged</v>
      </c>
    </row>
    <row r="129" spans="1:11" x14ac:dyDescent="0.25">
      <c r="A129" s="4" t="s">
        <v>153</v>
      </c>
      <c r="B129" s="4" t="s">
        <v>36</v>
      </c>
      <c r="C129" s="4" t="s">
        <v>32</v>
      </c>
      <c r="D129" s="4" t="s">
        <v>18</v>
      </c>
      <c r="E129" s="4" t="s">
        <v>14</v>
      </c>
      <c r="F129" s="4">
        <v>44</v>
      </c>
      <c r="G129" s="8">
        <v>79182</v>
      </c>
      <c r="H129" s="4">
        <v>7</v>
      </c>
      <c r="I129" s="4">
        <v>90</v>
      </c>
      <c r="J129" s="2" t="str">
        <f t="shared" si="2"/>
        <v>Low Cost</v>
      </c>
      <c r="K129" s="2" t="str">
        <f t="shared" si="3"/>
        <v>Adult</v>
      </c>
    </row>
    <row r="130" spans="1:11" x14ac:dyDescent="0.25">
      <c r="A130" s="4" t="s">
        <v>154</v>
      </c>
      <c r="B130" s="4" t="s">
        <v>21</v>
      </c>
      <c r="C130" s="4" t="s">
        <v>32</v>
      </c>
      <c r="D130" s="4" t="s">
        <v>18</v>
      </c>
      <c r="E130" s="4" t="s">
        <v>14</v>
      </c>
      <c r="F130" s="4">
        <v>51</v>
      </c>
      <c r="G130" s="8">
        <v>44905</v>
      </c>
      <c r="H130" s="4">
        <v>7</v>
      </c>
      <c r="I130" s="4">
        <v>85</v>
      </c>
      <c r="J130" s="2" t="str">
        <f t="shared" si="2"/>
        <v>Low Cost</v>
      </c>
      <c r="K130" s="2" t="str">
        <f t="shared" si="3"/>
        <v>Middle-aged</v>
      </c>
    </row>
    <row r="131" spans="1:11" x14ac:dyDescent="0.25">
      <c r="A131" s="4" t="s">
        <v>155</v>
      </c>
      <c r="B131" s="4" t="s">
        <v>10</v>
      </c>
      <c r="C131" s="4" t="s">
        <v>12</v>
      </c>
      <c r="D131" s="4" t="s">
        <v>31</v>
      </c>
      <c r="E131" s="4" t="s">
        <v>14</v>
      </c>
      <c r="F131" s="4">
        <v>81</v>
      </c>
      <c r="G131" s="8">
        <v>15079</v>
      </c>
      <c r="H131" s="4">
        <v>17</v>
      </c>
      <c r="I131" s="4">
        <v>68</v>
      </c>
      <c r="J131" s="2" t="str">
        <f t="shared" ref="J131:J194" si="4">IF(G131&gt;100000, "High Cost", "Low Cost")</f>
        <v>Low Cost</v>
      </c>
      <c r="K131" s="2" t="str">
        <f t="shared" ref="K131:K194" si="5">IF(F131&lt;=5,"Infant / Toddler",IF(F131&lt;=12,"Child",IF(F131&lt;=19,"Teenager",IF(F131&lt;=29,"Young Adult",IF(F131&lt;=44,"Adult",IF(F131&lt;=59,"Middle-aged",IF(F131&lt;=74,"Senior","Elderly")))))))</f>
        <v>Elderly</v>
      </c>
    </row>
    <row r="132" spans="1:11" x14ac:dyDescent="0.25">
      <c r="A132" s="4" t="s">
        <v>156</v>
      </c>
      <c r="B132" s="4" t="s">
        <v>23</v>
      </c>
      <c r="C132" s="4" t="s">
        <v>32</v>
      </c>
      <c r="D132" s="4" t="s">
        <v>24</v>
      </c>
      <c r="E132" s="4" t="s">
        <v>14</v>
      </c>
      <c r="F132" s="4">
        <v>80</v>
      </c>
      <c r="G132" s="8">
        <v>181447</v>
      </c>
      <c r="H132" s="4">
        <v>21</v>
      </c>
      <c r="I132" s="4">
        <v>93</v>
      </c>
      <c r="J132" s="2" t="str">
        <f t="shared" si="4"/>
        <v>High Cost</v>
      </c>
      <c r="K132" s="2" t="str">
        <f t="shared" si="5"/>
        <v>Elderly</v>
      </c>
    </row>
    <row r="133" spans="1:11" x14ac:dyDescent="0.25">
      <c r="A133" s="4" t="s">
        <v>157</v>
      </c>
      <c r="B133" s="4" t="s">
        <v>15</v>
      </c>
      <c r="C133" s="4" t="s">
        <v>32</v>
      </c>
      <c r="D133" s="4" t="s">
        <v>16</v>
      </c>
      <c r="E133" s="4" t="s">
        <v>14</v>
      </c>
      <c r="F133" s="4">
        <v>34</v>
      </c>
      <c r="G133" s="8">
        <v>105643</v>
      </c>
      <c r="H133" s="4">
        <v>5</v>
      </c>
      <c r="I133" s="4">
        <v>55</v>
      </c>
      <c r="J133" s="2" t="str">
        <f t="shared" si="4"/>
        <v>High Cost</v>
      </c>
      <c r="K133" s="2" t="str">
        <f t="shared" si="5"/>
        <v>Adult</v>
      </c>
    </row>
    <row r="134" spans="1:11" x14ac:dyDescent="0.25">
      <c r="A134" s="4" t="s">
        <v>158</v>
      </c>
      <c r="B134" s="4" t="s">
        <v>10</v>
      </c>
      <c r="C134" s="4" t="s">
        <v>19</v>
      </c>
      <c r="D134" s="4" t="s">
        <v>31</v>
      </c>
      <c r="E134" s="4" t="s">
        <v>9</v>
      </c>
      <c r="F134" s="4">
        <v>21</v>
      </c>
      <c r="G134" s="8">
        <v>108592</v>
      </c>
      <c r="H134" s="4">
        <v>16</v>
      </c>
      <c r="I134" s="4">
        <v>50</v>
      </c>
      <c r="J134" s="2" t="str">
        <f t="shared" si="4"/>
        <v>High Cost</v>
      </c>
      <c r="K134" s="2" t="str">
        <f t="shared" si="5"/>
        <v>Young Adult</v>
      </c>
    </row>
    <row r="135" spans="1:11" x14ac:dyDescent="0.25">
      <c r="A135" s="4" t="s">
        <v>159</v>
      </c>
      <c r="B135" s="4" t="s">
        <v>36</v>
      </c>
      <c r="C135" s="4" t="s">
        <v>32</v>
      </c>
      <c r="D135" s="4" t="s">
        <v>24</v>
      </c>
      <c r="E135" s="4" t="s">
        <v>14</v>
      </c>
      <c r="F135" s="4">
        <v>3</v>
      </c>
      <c r="G135" s="8">
        <v>38714</v>
      </c>
      <c r="H135" s="4">
        <v>13</v>
      </c>
      <c r="I135" s="4">
        <v>65</v>
      </c>
      <c r="J135" s="2" t="str">
        <f t="shared" si="4"/>
        <v>Low Cost</v>
      </c>
      <c r="K135" s="2" t="str">
        <f t="shared" si="5"/>
        <v>Infant / Toddler</v>
      </c>
    </row>
    <row r="136" spans="1:11" x14ac:dyDescent="0.25">
      <c r="A136" s="4" t="s">
        <v>160</v>
      </c>
      <c r="B136" s="4" t="s">
        <v>26</v>
      </c>
      <c r="C136" s="4" t="s">
        <v>27</v>
      </c>
      <c r="D136" s="4" t="s">
        <v>18</v>
      </c>
      <c r="E136" s="4" t="s">
        <v>14</v>
      </c>
      <c r="F136" s="4">
        <v>57</v>
      </c>
      <c r="G136" s="8">
        <v>135017</v>
      </c>
      <c r="H136" s="4">
        <v>12</v>
      </c>
      <c r="I136" s="4">
        <v>69</v>
      </c>
      <c r="J136" s="2" t="str">
        <f t="shared" si="4"/>
        <v>High Cost</v>
      </c>
      <c r="K136" s="2" t="str">
        <f t="shared" si="5"/>
        <v>Middle-aged</v>
      </c>
    </row>
    <row r="137" spans="1:11" x14ac:dyDescent="0.25">
      <c r="A137" s="4" t="s">
        <v>161</v>
      </c>
      <c r="B137" s="4" t="s">
        <v>36</v>
      </c>
      <c r="C137" s="4" t="s">
        <v>19</v>
      </c>
      <c r="D137" s="4" t="s">
        <v>16</v>
      </c>
      <c r="E137" s="4" t="s">
        <v>14</v>
      </c>
      <c r="F137" s="4">
        <v>55</v>
      </c>
      <c r="G137" s="8">
        <v>24172</v>
      </c>
      <c r="H137" s="4">
        <v>11</v>
      </c>
      <c r="I137" s="4">
        <v>59</v>
      </c>
      <c r="J137" s="2" t="str">
        <f t="shared" si="4"/>
        <v>Low Cost</v>
      </c>
      <c r="K137" s="2" t="str">
        <f t="shared" si="5"/>
        <v>Middle-aged</v>
      </c>
    </row>
    <row r="138" spans="1:11" x14ac:dyDescent="0.25">
      <c r="A138" s="4" t="s">
        <v>162</v>
      </c>
      <c r="B138" s="4" t="s">
        <v>23</v>
      </c>
      <c r="C138" s="4" t="s">
        <v>32</v>
      </c>
      <c r="D138" s="4" t="s">
        <v>31</v>
      </c>
      <c r="E138" s="4" t="s">
        <v>9</v>
      </c>
      <c r="F138" s="4">
        <v>5</v>
      </c>
      <c r="G138" s="8">
        <v>182375</v>
      </c>
      <c r="H138" s="4">
        <v>6</v>
      </c>
      <c r="I138" s="4">
        <v>57</v>
      </c>
      <c r="J138" s="2" t="str">
        <f t="shared" si="4"/>
        <v>High Cost</v>
      </c>
      <c r="K138" s="2" t="str">
        <f t="shared" si="5"/>
        <v>Infant / Toddler</v>
      </c>
    </row>
    <row r="139" spans="1:11" x14ac:dyDescent="0.25">
      <c r="A139" s="4" t="s">
        <v>163</v>
      </c>
      <c r="B139" s="4" t="s">
        <v>15</v>
      </c>
      <c r="C139" s="4" t="s">
        <v>27</v>
      </c>
      <c r="D139" s="4" t="s">
        <v>11</v>
      </c>
      <c r="E139" s="4" t="s">
        <v>14</v>
      </c>
      <c r="F139" s="4">
        <v>69</v>
      </c>
      <c r="G139" s="8">
        <v>113321</v>
      </c>
      <c r="H139" s="4">
        <v>26</v>
      </c>
      <c r="I139" s="4">
        <v>52</v>
      </c>
      <c r="J139" s="2" t="str">
        <f t="shared" si="4"/>
        <v>High Cost</v>
      </c>
      <c r="K139" s="2" t="str">
        <f t="shared" si="5"/>
        <v>Senior</v>
      </c>
    </row>
    <row r="140" spans="1:11" x14ac:dyDescent="0.25">
      <c r="A140" s="4" t="s">
        <v>164</v>
      </c>
      <c r="B140" s="4" t="s">
        <v>15</v>
      </c>
      <c r="C140" s="4" t="s">
        <v>12</v>
      </c>
      <c r="D140" s="4" t="s">
        <v>24</v>
      </c>
      <c r="E140" s="4" t="s">
        <v>14</v>
      </c>
      <c r="F140" s="4">
        <v>56</v>
      </c>
      <c r="G140" s="8">
        <v>174057</v>
      </c>
      <c r="H140" s="4">
        <v>19</v>
      </c>
      <c r="I140" s="4">
        <v>84</v>
      </c>
      <c r="J140" s="2" t="str">
        <f t="shared" si="4"/>
        <v>High Cost</v>
      </c>
      <c r="K140" s="2" t="str">
        <f t="shared" si="5"/>
        <v>Middle-aged</v>
      </c>
    </row>
    <row r="141" spans="1:11" x14ac:dyDescent="0.25">
      <c r="A141" s="4" t="s">
        <v>165</v>
      </c>
      <c r="B141" s="4" t="s">
        <v>21</v>
      </c>
      <c r="C141" s="4" t="s">
        <v>12</v>
      </c>
      <c r="D141" s="4" t="s">
        <v>18</v>
      </c>
      <c r="E141" s="4" t="s">
        <v>14</v>
      </c>
      <c r="F141" s="4">
        <v>74</v>
      </c>
      <c r="G141" s="8">
        <v>52277</v>
      </c>
      <c r="H141" s="4">
        <v>8</v>
      </c>
      <c r="I141" s="4">
        <v>64</v>
      </c>
      <c r="J141" s="2" t="str">
        <f t="shared" si="4"/>
        <v>Low Cost</v>
      </c>
      <c r="K141" s="2" t="str">
        <f t="shared" si="5"/>
        <v>Senior</v>
      </c>
    </row>
    <row r="142" spans="1:11" x14ac:dyDescent="0.25">
      <c r="A142" s="4" t="s">
        <v>166</v>
      </c>
      <c r="B142" s="4" t="s">
        <v>23</v>
      </c>
      <c r="C142" s="4" t="s">
        <v>12</v>
      </c>
      <c r="D142" s="4" t="s">
        <v>18</v>
      </c>
      <c r="E142" s="4" t="s">
        <v>9</v>
      </c>
      <c r="F142" s="4">
        <v>62</v>
      </c>
      <c r="G142" s="8">
        <v>169943</v>
      </c>
      <c r="H142" s="4">
        <v>19</v>
      </c>
      <c r="I142" s="4">
        <v>56</v>
      </c>
      <c r="J142" s="2" t="str">
        <f t="shared" si="4"/>
        <v>High Cost</v>
      </c>
      <c r="K142" s="2" t="str">
        <f t="shared" si="5"/>
        <v>Senior</v>
      </c>
    </row>
    <row r="143" spans="1:11" x14ac:dyDescent="0.25">
      <c r="A143" s="4" t="s">
        <v>167</v>
      </c>
      <c r="B143" s="4" t="s">
        <v>26</v>
      </c>
      <c r="C143" s="4" t="s">
        <v>19</v>
      </c>
      <c r="D143" s="4" t="s">
        <v>18</v>
      </c>
      <c r="E143" s="4" t="s">
        <v>14</v>
      </c>
      <c r="F143" s="4">
        <v>41</v>
      </c>
      <c r="G143" s="8">
        <v>181589</v>
      </c>
      <c r="H143" s="4">
        <v>11</v>
      </c>
      <c r="I143" s="4">
        <v>89</v>
      </c>
      <c r="J143" s="2" t="str">
        <f t="shared" si="4"/>
        <v>High Cost</v>
      </c>
      <c r="K143" s="2" t="str">
        <f t="shared" si="5"/>
        <v>Adult</v>
      </c>
    </row>
    <row r="144" spans="1:11" x14ac:dyDescent="0.25">
      <c r="A144" s="4" t="s">
        <v>168</v>
      </c>
      <c r="B144" s="4" t="s">
        <v>36</v>
      </c>
      <c r="C144" s="4" t="s">
        <v>32</v>
      </c>
      <c r="D144" s="4" t="s">
        <v>11</v>
      </c>
      <c r="E144" s="4" t="s">
        <v>9</v>
      </c>
      <c r="F144" s="4">
        <v>31</v>
      </c>
      <c r="G144" s="8">
        <v>59732</v>
      </c>
      <c r="H144" s="4">
        <v>24</v>
      </c>
      <c r="I144" s="4">
        <v>62</v>
      </c>
      <c r="J144" s="2" t="str">
        <f t="shared" si="4"/>
        <v>Low Cost</v>
      </c>
      <c r="K144" s="2" t="str">
        <f t="shared" si="5"/>
        <v>Adult</v>
      </c>
    </row>
    <row r="145" spans="1:11" x14ac:dyDescent="0.25">
      <c r="A145" s="4" t="s">
        <v>169</v>
      </c>
      <c r="B145" s="4" t="s">
        <v>36</v>
      </c>
      <c r="C145" s="4" t="s">
        <v>19</v>
      </c>
      <c r="D145" s="4" t="s">
        <v>18</v>
      </c>
      <c r="E145" s="4" t="s">
        <v>14</v>
      </c>
      <c r="F145" s="4">
        <v>79</v>
      </c>
      <c r="G145" s="8">
        <v>15998</v>
      </c>
      <c r="H145" s="4">
        <v>10</v>
      </c>
      <c r="I145" s="4">
        <v>75</v>
      </c>
      <c r="J145" s="2" t="str">
        <f t="shared" si="4"/>
        <v>Low Cost</v>
      </c>
      <c r="K145" s="2" t="str">
        <f t="shared" si="5"/>
        <v>Elderly</v>
      </c>
    </row>
    <row r="146" spans="1:11" x14ac:dyDescent="0.25">
      <c r="A146" s="4" t="s">
        <v>170</v>
      </c>
      <c r="B146" s="4" t="s">
        <v>15</v>
      </c>
      <c r="C146" s="4" t="s">
        <v>19</v>
      </c>
      <c r="D146" s="4" t="s">
        <v>24</v>
      </c>
      <c r="E146" s="4" t="s">
        <v>14</v>
      </c>
      <c r="F146" s="4">
        <v>61</v>
      </c>
      <c r="G146" s="8">
        <v>160019</v>
      </c>
      <c r="H146" s="4">
        <v>18</v>
      </c>
      <c r="I146" s="4">
        <v>73</v>
      </c>
      <c r="J146" s="2" t="str">
        <f t="shared" si="4"/>
        <v>High Cost</v>
      </c>
      <c r="K146" s="2" t="str">
        <f t="shared" si="5"/>
        <v>Senior</v>
      </c>
    </row>
    <row r="147" spans="1:11" x14ac:dyDescent="0.25">
      <c r="A147" s="4" t="s">
        <v>171</v>
      </c>
      <c r="B147" s="4" t="s">
        <v>21</v>
      </c>
      <c r="C147" s="4" t="s">
        <v>12</v>
      </c>
      <c r="D147" s="4" t="s">
        <v>24</v>
      </c>
      <c r="E147" s="4" t="s">
        <v>9</v>
      </c>
      <c r="F147" s="4">
        <v>68</v>
      </c>
      <c r="G147" s="8">
        <v>134766</v>
      </c>
      <c r="H147" s="4">
        <v>16</v>
      </c>
      <c r="I147" s="4">
        <v>62</v>
      </c>
      <c r="J147" s="2" t="str">
        <f t="shared" si="4"/>
        <v>High Cost</v>
      </c>
      <c r="K147" s="2" t="str">
        <f t="shared" si="5"/>
        <v>Senior</v>
      </c>
    </row>
    <row r="148" spans="1:11" x14ac:dyDescent="0.25">
      <c r="A148" s="4" t="s">
        <v>172</v>
      </c>
      <c r="B148" s="4" t="s">
        <v>36</v>
      </c>
      <c r="C148" s="4" t="s">
        <v>12</v>
      </c>
      <c r="D148" s="4" t="s">
        <v>24</v>
      </c>
      <c r="E148" s="4" t="s">
        <v>14</v>
      </c>
      <c r="F148" s="4">
        <v>31</v>
      </c>
      <c r="G148" s="8">
        <v>185566</v>
      </c>
      <c r="H148" s="4">
        <v>27</v>
      </c>
      <c r="I148" s="4">
        <v>73</v>
      </c>
      <c r="J148" s="2" t="str">
        <f t="shared" si="4"/>
        <v>High Cost</v>
      </c>
      <c r="K148" s="2" t="str">
        <f t="shared" si="5"/>
        <v>Adult</v>
      </c>
    </row>
    <row r="149" spans="1:11" x14ac:dyDescent="0.25">
      <c r="A149" s="4" t="s">
        <v>173</v>
      </c>
      <c r="B149" s="4" t="s">
        <v>36</v>
      </c>
      <c r="C149" s="4" t="s">
        <v>12</v>
      </c>
      <c r="D149" s="4" t="s">
        <v>24</v>
      </c>
      <c r="E149" s="4" t="s">
        <v>9</v>
      </c>
      <c r="F149" s="4">
        <v>19</v>
      </c>
      <c r="G149" s="8">
        <v>81712</v>
      </c>
      <c r="H149" s="4">
        <v>3</v>
      </c>
      <c r="I149" s="4">
        <v>67</v>
      </c>
      <c r="J149" s="2" t="str">
        <f t="shared" si="4"/>
        <v>Low Cost</v>
      </c>
      <c r="K149" s="2" t="str">
        <f t="shared" si="5"/>
        <v>Teenager</v>
      </c>
    </row>
    <row r="150" spans="1:11" x14ac:dyDescent="0.25">
      <c r="A150" s="4" t="s">
        <v>174</v>
      </c>
      <c r="B150" s="4" t="s">
        <v>23</v>
      </c>
      <c r="C150" s="4" t="s">
        <v>19</v>
      </c>
      <c r="D150" s="4" t="s">
        <v>16</v>
      </c>
      <c r="E150" s="4" t="s">
        <v>9</v>
      </c>
      <c r="F150" s="4">
        <v>56</v>
      </c>
      <c r="G150" s="8">
        <v>75558</v>
      </c>
      <c r="H150" s="4">
        <v>17</v>
      </c>
      <c r="I150" s="4">
        <v>80</v>
      </c>
      <c r="J150" s="2" t="str">
        <f t="shared" si="4"/>
        <v>Low Cost</v>
      </c>
      <c r="K150" s="2" t="str">
        <f t="shared" si="5"/>
        <v>Middle-aged</v>
      </c>
    </row>
    <row r="151" spans="1:11" x14ac:dyDescent="0.25">
      <c r="A151" s="4" t="s">
        <v>175</v>
      </c>
      <c r="B151" s="4" t="s">
        <v>21</v>
      </c>
      <c r="C151" s="4" t="s">
        <v>32</v>
      </c>
      <c r="D151" s="4" t="s">
        <v>18</v>
      </c>
      <c r="E151" s="4" t="s">
        <v>14</v>
      </c>
      <c r="F151" s="4">
        <v>56</v>
      </c>
      <c r="G151" s="8">
        <v>80141</v>
      </c>
      <c r="H151" s="4">
        <v>12</v>
      </c>
      <c r="I151" s="4">
        <v>73</v>
      </c>
      <c r="J151" s="2" t="str">
        <f t="shared" si="4"/>
        <v>Low Cost</v>
      </c>
      <c r="K151" s="2" t="str">
        <f t="shared" si="5"/>
        <v>Middle-aged</v>
      </c>
    </row>
    <row r="152" spans="1:11" x14ac:dyDescent="0.25">
      <c r="A152" s="4" t="s">
        <v>176</v>
      </c>
      <c r="B152" s="4" t="s">
        <v>36</v>
      </c>
      <c r="C152" s="4" t="s">
        <v>12</v>
      </c>
      <c r="D152" s="4" t="s">
        <v>31</v>
      </c>
      <c r="E152" s="4" t="s">
        <v>9</v>
      </c>
      <c r="F152" s="4">
        <v>33</v>
      </c>
      <c r="G152" s="8">
        <v>39837</v>
      </c>
      <c r="H152" s="4">
        <v>19</v>
      </c>
      <c r="I152" s="4">
        <v>88</v>
      </c>
      <c r="J152" s="2" t="str">
        <f t="shared" si="4"/>
        <v>Low Cost</v>
      </c>
      <c r="K152" s="2" t="str">
        <f t="shared" si="5"/>
        <v>Adult</v>
      </c>
    </row>
    <row r="153" spans="1:11" x14ac:dyDescent="0.25">
      <c r="A153" s="4" t="s">
        <v>177</v>
      </c>
      <c r="B153" s="4" t="s">
        <v>15</v>
      </c>
      <c r="C153" s="4" t="s">
        <v>32</v>
      </c>
      <c r="D153" s="4" t="s">
        <v>24</v>
      </c>
      <c r="E153" s="4" t="s">
        <v>14</v>
      </c>
      <c r="F153" s="4">
        <v>52</v>
      </c>
      <c r="G153" s="8">
        <v>49814</v>
      </c>
      <c r="H153" s="4">
        <v>25</v>
      </c>
      <c r="I153" s="4">
        <v>61</v>
      </c>
      <c r="J153" s="2" t="str">
        <f t="shared" si="4"/>
        <v>Low Cost</v>
      </c>
      <c r="K153" s="2" t="str">
        <f t="shared" si="5"/>
        <v>Middle-aged</v>
      </c>
    </row>
    <row r="154" spans="1:11" x14ac:dyDescent="0.25">
      <c r="A154" s="4" t="s">
        <v>178</v>
      </c>
      <c r="B154" s="4" t="s">
        <v>23</v>
      </c>
      <c r="C154" s="4" t="s">
        <v>32</v>
      </c>
      <c r="D154" s="4" t="s">
        <v>18</v>
      </c>
      <c r="E154" s="4" t="s">
        <v>9</v>
      </c>
      <c r="F154" s="4">
        <v>82</v>
      </c>
      <c r="G154" s="8">
        <v>41064</v>
      </c>
      <c r="H154" s="4">
        <v>15</v>
      </c>
      <c r="I154" s="4">
        <v>79</v>
      </c>
      <c r="J154" s="2" t="str">
        <f t="shared" si="4"/>
        <v>Low Cost</v>
      </c>
      <c r="K154" s="2" t="str">
        <f t="shared" si="5"/>
        <v>Elderly</v>
      </c>
    </row>
    <row r="155" spans="1:11" x14ac:dyDescent="0.25">
      <c r="A155" s="4" t="s">
        <v>179</v>
      </c>
      <c r="B155" s="4" t="s">
        <v>36</v>
      </c>
      <c r="C155" s="4" t="s">
        <v>19</v>
      </c>
      <c r="D155" s="4" t="s">
        <v>18</v>
      </c>
      <c r="E155" s="4" t="s">
        <v>14</v>
      </c>
      <c r="F155" s="4">
        <v>40</v>
      </c>
      <c r="G155" s="8">
        <v>57384</v>
      </c>
      <c r="H155" s="4">
        <v>18</v>
      </c>
      <c r="I155" s="4">
        <v>52</v>
      </c>
      <c r="J155" s="2" t="str">
        <f t="shared" si="4"/>
        <v>Low Cost</v>
      </c>
      <c r="K155" s="2" t="str">
        <f t="shared" si="5"/>
        <v>Adult</v>
      </c>
    </row>
    <row r="156" spans="1:11" x14ac:dyDescent="0.25">
      <c r="A156" s="4" t="s">
        <v>180</v>
      </c>
      <c r="B156" s="4" t="s">
        <v>10</v>
      </c>
      <c r="C156" s="4" t="s">
        <v>19</v>
      </c>
      <c r="D156" s="4" t="s">
        <v>31</v>
      </c>
      <c r="E156" s="4" t="s">
        <v>14</v>
      </c>
      <c r="F156" s="4">
        <v>38</v>
      </c>
      <c r="G156" s="8">
        <v>24188</v>
      </c>
      <c r="H156" s="4">
        <v>25</v>
      </c>
      <c r="I156" s="4">
        <v>56</v>
      </c>
      <c r="J156" s="2" t="str">
        <f t="shared" si="4"/>
        <v>Low Cost</v>
      </c>
      <c r="K156" s="2" t="str">
        <f t="shared" si="5"/>
        <v>Adult</v>
      </c>
    </row>
    <row r="157" spans="1:11" x14ac:dyDescent="0.25">
      <c r="A157" s="4" t="s">
        <v>181</v>
      </c>
      <c r="B157" s="4" t="s">
        <v>21</v>
      </c>
      <c r="C157" s="4" t="s">
        <v>19</v>
      </c>
      <c r="D157" s="4" t="s">
        <v>18</v>
      </c>
      <c r="E157" s="4" t="s">
        <v>9</v>
      </c>
      <c r="F157" s="4">
        <v>38</v>
      </c>
      <c r="G157" s="8">
        <v>24945</v>
      </c>
      <c r="H157" s="4">
        <v>20</v>
      </c>
      <c r="I157" s="4">
        <v>66</v>
      </c>
      <c r="J157" s="2" t="str">
        <f t="shared" si="4"/>
        <v>Low Cost</v>
      </c>
      <c r="K157" s="2" t="str">
        <f t="shared" si="5"/>
        <v>Adult</v>
      </c>
    </row>
    <row r="158" spans="1:11" x14ac:dyDescent="0.25">
      <c r="A158" s="4" t="s">
        <v>182</v>
      </c>
      <c r="B158" s="4" t="s">
        <v>26</v>
      </c>
      <c r="C158" s="4" t="s">
        <v>32</v>
      </c>
      <c r="D158" s="4" t="s">
        <v>11</v>
      </c>
      <c r="E158" s="4" t="s">
        <v>14</v>
      </c>
      <c r="F158" s="4">
        <v>39</v>
      </c>
      <c r="G158" s="8">
        <v>108824</v>
      </c>
      <c r="H158" s="4">
        <v>16</v>
      </c>
      <c r="I158" s="4">
        <v>54</v>
      </c>
      <c r="J158" s="2" t="str">
        <f t="shared" si="4"/>
        <v>High Cost</v>
      </c>
      <c r="K158" s="2" t="str">
        <f t="shared" si="5"/>
        <v>Adult</v>
      </c>
    </row>
    <row r="159" spans="1:11" x14ac:dyDescent="0.25">
      <c r="A159" s="4" t="s">
        <v>183</v>
      </c>
      <c r="B159" s="4" t="s">
        <v>23</v>
      </c>
      <c r="C159" s="4" t="s">
        <v>12</v>
      </c>
      <c r="D159" s="4" t="s">
        <v>16</v>
      </c>
      <c r="E159" s="4" t="s">
        <v>14</v>
      </c>
      <c r="F159" s="4">
        <v>41</v>
      </c>
      <c r="G159" s="8">
        <v>193593</v>
      </c>
      <c r="H159" s="4">
        <v>23</v>
      </c>
      <c r="I159" s="4">
        <v>95</v>
      </c>
      <c r="J159" s="2" t="str">
        <f t="shared" si="4"/>
        <v>High Cost</v>
      </c>
      <c r="K159" s="2" t="str">
        <f t="shared" si="5"/>
        <v>Adult</v>
      </c>
    </row>
    <row r="160" spans="1:11" x14ac:dyDescent="0.25">
      <c r="A160" s="4" t="s">
        <v>184</v>
      </c>
      <c r="B160" s="4" t="s">
        <v>26</v>
      </c>
      <c r="C160" s="4" t="s">
        <v>19</v>
      </c>
      <c r="D160" s="4" t="s">
        <v>24</v>
      </c>
      <c r="E160" s="4" t="s">
        <v>14</v>
      </c>
      <c r="F160" s="4">
        <v>77</v>
      </c>
      <c r="G160" s="8">
        <v>107726</v>
      </c>
      <c r="H160" s="4">
        <v>8</v>
      </c>
      <c r="I160" s="4">
        <v>83</v>
      </c>
      <c r="J160" s="2" t="str">
        <f t="shared" si="4"/>
        <v>High Cost</v>
      </c>
      <c r="K160" s="2" t="str">
        <f t="shared" si="5"/>
        <v>Elderly</v>
      </c>
    </row>
    <row r="161" spans="1:11" x14ac:dyDescent="0.25">
      <c r="A161" s="4" t="s">
        <v>185</v>
      </c>
      <c r="B161" s="4" t="s">
        <v>26</v>
      </c>
      <c r="C161" s="4" t="s">
        <v>32</v>
      </c>
      <c r="D161" s="4" t="s">
        <v>24</v>
      </c>
      <c r="E161" s="4" t="s">
        <v>9</v>
      </c>
      <c r="F161" s="4">
        <v>76</v>
      </c>
      <c r="G161" s="8">
        <v>199134</v>
      </c>
      <c r="H161" s="4">
        <v>24</v>
      </c>
      <c r="I161" s="4">
        <v>84</v>
      </c>
      <c r="J161" s="2" t="str">
        <f t="shared" si="4"/>
        <v>High Cost</v>
      </c>
      <c r="K161" s="2" t="str">
        <f t="shared" si="5"/>
        <v>Elderly</v>
      </c>
    </row>
    <row r="162" spans="1:11" x14ac:dyDescent="0.25">
      <c r="A162" s="4" t="s">
        <v>186</v>
      </c>
      <c r="B162" s="4" t="s">
        <v>15</v>
      </c>
      <c r="C162" s="4" t="s">
        <v>32</v>
      </c>
      <c r="D162" s="4" t="s">
        <v>16</v>
      </c>
      <c r="E162" s="4" t="s">
        <v>14</v>
      </c>
      <c r="F162" s="4">
        <v>19</v>
      </c>
      <c r="G162" s="8">
        <v>109563</v>
      </c>
      <c r="H162" s="4">
        <v>16</v>
      </c>
      <c r="I162" s="4">
        <v>75</v>
      </c>
      <c r="J162" s="2" t="str">
        <f t="shared" si="4"/>
        <v>High Cost</v>
      </c>
      <c r="K162" s="2" t="str">
        <f t="shared" si="5"/>
        <v>Teenager</v>
      </c>
    </row>
    <row r="163" spans="1:11" x14ac:dyDescent="0.25">
      <c r="A163" s="4" t="s">
        <v>187</v>
      </c>
      <c r="B163" s="4" t="s">
        <v>26</v>
      </c>
      <c r="C163" s="4" t="s">
        <v>27</v>
      </c>
      <c r="D163" s="4" t="s">
        <v>16</v>
      </c>
      <c r="E163" s="4" t="s">
        <v>9</v>
      </c>
      <c r="F163" s="4">
        <v>13</v>
      </c>
      <c r="G163" s="8">
        <v>162801</v>
      </c>
      <c r="H163" s="4">
        <v>24</v>
      </c>
      <c r="I163" s="4">
        <v>87</v>
      </c>
      <c r="J163" s="2" t="str">
        <f t="shared" si="4"/>
        <v>High Cost</v>
      </c>
      <c r="K163" s="2" t="str">
        <f t="shared" si="5"/>
        <v>Teenager</v>
      </c>
    </row>
    <row r="164" spans="1:11" x14ac:dyDescent="0.25">
      <c r="A164" s="4" t="s">
        <v>188</v>
      </c>
      <c r="B164" s="4" t="s">
        <v>36</v>
      </c>
      <c r="C164" s="4" t="s">
        <v>19</v>
      </c>
      <c r="D164" s="4" t="s">
        <v>24</v>
      </c>
      <c r="E164" s="4" t="s">
        <v>9</v>
      </c>
      <c r="F164" s="4">
        <v>65</v>
      </c>
      <c r="G164" s="8">
        <v>175996</v>
      </c>
      <c r="H164" s="4">
        <v>25</v>
      </c>
      <c r="I164" s="4">
        <v>93</v>
      </c>
      <c r="J164" s="2" t="str">
        <f t="shared" si="4"/>
        <v>High Cost</v>
      </c>
      <c r="K164" s="2" t="str">
        <f t="shared" si="5"/>
        <v>Senior</v>
      </c>
    </row>
    <row r="165" spans="1:11" x14ac:dyDescent="0.25">
      <c r="A165" s="4" t="s">
        <v>189</v>
      </c>
      <c r="B165" s="4" t="s">
        <v>23</v>
      </c>
      <c r="C165" s="4" t="s">
        <v>12</v>
      </c>
      <c r="D165" s="4" t="s">
        <v>24</v>
      </c>
      <c r="E165" s="4" t="s">
        <v>14</v>
      </c>
      <c r="F165" s="4">
        <v>60</v>
      </c>
      <c r="G165" s="8">
        <v>33596</v>
      </c>
      <c r="H165" s="4">
        <v>20</v>
      </c>
      <c r="I165" s="4">
        <v>74</v>
      </c>
      <c r="J165" s="2" t="str">
        <f t="shared" si="4"/>
        <v>Low Cost</v>
      </c>
      <c r="K165" s="2" t="str">
        <f t="shared" si="5"/>
        <v>Senior</v>
      </c>
    </row>
    <row r="166" spans="1:11" x14ac:dyDescent="0.25">
      <c r="A166" s="4" t="s">
        <v>190</v>
      </c>
      <c r="B166" s="4" t="s">
        <v>15</v>
      </c>
      <c r="C166" s="4" t="s">
        <v>12</v>
      </c>
      <c r="D166" s="4" t="s">
        <v>31</v>
      </c>
      <c r="E166" s="4" t="s">
        <v>9</v>
      </c>
      <c r="F166" s="4">
        <v>43</v>
      </c>
      <c r="G166" s="8">
        <v>97298</v>
      </c>
      <c r="H166" s="4">
        <v>5</v>
      </c>
      <c r="I166" s="4">
        <v>92</v>
      </c>
      <c r="J166" s="2" t="str">
        <f t="shared" si="4"/>
        <v>Low Cost</v>
      </c>
      <c r="K166" s="2" t="str">
        <f t="shared" si="5"/>
        <v>Adult</v>
      </c>
    </row>
    <row r="167" spans="1:11" x14ac:dyDescent="0.25">
      <c r="A167" s="4" t="s">
        <v>191</v>
      </c>
      <c r="B167" s="4" t="s">
        <v>15</v>
      </c>
      <c r="C167" s="4" t="s">
        <v>27</v>
      </c>
      <c r="D167" s="4" t="s">
        <v>18</v>
      </c>
      <c r="E167" s="4" t="s">
        <v>9</v>
      </c>
      <c r="F167" s="4">
        <v>18</v>
      </c>
      <c r="G167" s="8">
        <v>99652</v>
      </c>
      <c r="H167" s="4">
        <v>9</v>
      </c>
      <c r="I167" s="4">
        <v>77</v>
      </c>
      <c r="J167" s="2" t="str">
        <f t="shared" si="4"/>
        <v>Low Cost</v>
      </c>
      <c r="K167" s="2" t="str">
        <f t="shared" si="5"/>
        <v>Teenager</v>
      </c>
    </row>
    <row r="168" spans="1:11" x14ac:dyDescent="0.25">
      <c r="A168" s="4" t="s">
        <v>192</v>
      </c>
      <c r="B168" s="4" t="s">
        <v>15</v>
      </c>
      <c r="C168" s="4" t="s">
        <v>32</v>
      </c>
      <c r="D168" s="4" t="s">
        <v>31</v>
      </c>
      <c r="E168" s="4" t="s">
        <v>14</v>
      </c>
      <c r="F168" s="4">
        <v>41</v>
      </c>
      <c r="G168" s="8">
        <v>85347</v>
      </c>
      <c r="H168" s="4">
        <v>11</v>
      </c>
      <c r="I168" s="4">
        <v>54</v>
      </c>
      <c r="J168" s="2" t="str">
        <f t="shared" si="4"/>
        <v>Low Cost</v>
      </c>
      <c r="K168" s="2" t="str">
        <f t="shared" si="5"/>
        <v>Adult</v>
      </c>
    </row>
    <row r="169" spans="1:11" x14ac:dyDescent="0.25">
      <c r="A169" s="4" t="s">
        <v>193</v>
      </c>
      <c r="B169" s="4" t="s">
        <v>10</v>
      </c>
      <c r="C169" s="4" t="s">
        <v>19</v>
      </c>
      <c r="D169" s="4" t="s">
        <v>16</v>
      </c>
      <c r="E169" s="4" t="s">
        <v>9</v>
      </c>
      <c r="F169" s="4">
        <v>57</v>
      </c>
      <c r="G169" s="8">
        <v>48535</v>
      </c>
      <c r="H169" s="4">
        <v>6</v>
      </c>
      <c r="I169" s="4">
        <v>77</v>
      </c>
      <c r="J169" s="2" t="str">
        <f t="shared" si="4"/>
        <v>Low Cost</v>
      </c>
      <c r="K169" s="2" t="str">
        <f t="shared" si="5"/>
        <v>Middle-aged</v>
      </c>
    </row>
    <row r="170" spans="1:11" x14ac:dyDescent="0.25">
      <c r="A170" s="4" t="s">
        <v>194</v>
      </c>
      <c r="B170" s="4" t="s">
        <v>21</v>
      </c>
      <c r="C170" s="4" t="s">
        <v>32</v>
      </c>
      <c r="D170" s="4" t="s">
        <v>11</v>
      </c>
      <c r="E170" s="4" t="s">
        <v>14</v>
      </c>
      <c r="F170" s="4">
        <v>18</v>
      </c>
      <c r="G170" s="8">
        <v>125819</v>
      </c>
      <c r="H170" s="4">
        <v>12</v>
      </c>
      <c r="I170" s="4">
        <v>82</v>
      </c>
      <c r="J170" s="2" t="str">
        <f t="shared" si="4"/>
        <v>High Cost</v>
      </c>
      <c r="K170" s="2" t="str">
        <f t="shared" si="5"/>
        <v>Teenager</v>
      </c>
    </row>
    <row r="171" spans="1:11" x14ac:dyDescent="0.25">
      <c r="A171" s="4" t="s">
        <v>195</v>
      </c>
      <c r="B171" s="4" t="s">
        <v>26</v>
      </c>
      <c r="C171" s="4" t="s">
        <v>32</v>
      </c>
      <c r="D171" s="4" t="s">
        <v>18</v>
      </c>
      <c r="E171" s="4" t="s">
        <v>9</v>
      </c>
      <c r="F171" s="4">
        <v>38</v>
      </c>
      <c r="G171" s="8">
        <v>87649</v>
      </c>
      <c r="H171" s="4">
        <v>12</v>
      </c>
      <c r="I171" s="4">
        <v>72</v>
      </c>
      <c r="J171" s="2" t="str">
        <f t="shared" si="4"/>
        <v>Low Cost</v>
      </c>
      <c r="K171" s="2" t="str">
        <f t="shared" si="5"/>
        <v>Adult</v>
      </c>
    </row>
    <row r="172" spans="1:11" x14ac:dyDescent="0.25">
      <c r="A172" s="4" t="s">
        <v>196</v>
      </c>
      <c r="B172" s="4" t="s">
        <v>21</v>
      </c>
      <c r="C172" s="4" t="s">
        <v>27</v>
      </c>
      <c r="D172" s="4" t="s">
        <v>11</v>
      </c>
      <c r="E172" s="4" t="s">
        <v>14</v>
      </c>
      <c r="F172" s="4">
        <v>71</v>
      </c>
      <c r="G172" s="8">
        <v>16843</v>
      </c>
      <c r="H172" s="4">
        <v>4</v>
      </c>
      <c r="I172" s="4">
        <v>81</v>
      </c>
      <c r="J172" s="2" t="str">
        <f t="shared" si="4"/>
        <v>Low Cost</v>
      </c>
      <c r="K172" s="2" t="str">
        <f t="shared" si="5"/>
        <v>Senior</v>
      </c>
    </row>
    <row r="173" spans="1:11" x14ac:dyDescent="0.25">
      <c r="A173" s="4" t="s">
        <v>197</v>
      </c>
      <c r="B173" s="4" t="s">
        <v>23</v>
      </c>
      <c r="C173" s="4" t="s">
        <v>12</v>
      </c>
      <c r="D173" s="4" t="s">
        <v>11</v>
      </c>
      <c r="E173" s="4" t="s">
        <v>14</v>
      </c>
      <c r="F173" s="4">
        <v>52</v>
      </c>
      <c r="G173" s="8">
        <v>129665</v>
      </c>
      <c r="H173" s="4">
        <v>23</v>
      </c>
      <c r="I173" s="4">
        <v>72</v>
      </c>
      <c r="J173" s="2" t="str">
        <f t="shared" si="4"/>
        <v>High Cost</v>
      </c>
      <c r="K173" s="2" t="str">
        <f t="shared" si="5"/>
        <v>Middle-aged</v>
      </c>
    </row>
    <row r="174" spans="1:11" x14ac:dyDescent="0.25">
      <c r="A174" s="4" t="s">
        <v>198</v>
      </c>
      <c r="B174" s="4" t="s">
        <v>10</v>
      </c>
      <c r="C174" s="4" t="s">
        <v>27</v>
      </c>
      <c r="D174" s="4" t="s">
        <v>16</v>
      </c>
      <c r="E174" s="4" t="s">
        <v>14</v>
      </c>
      <c r="F174" s="4">
        <v>31</v>
      </c>
      <c r="G174" s="8">
        <v>19680</v>
      </c>
      <c r="H174" s="4">
        <v>29</v>
      </c>
      <c r="I174" s="4">
        <v>70</v>
      </c>
      <c r="J174" s="2" t="str">
        <f t="shared" si="4"/>
        <v>Low Cost</v>
      </c>
      <c r="K174" s="2" t="str">
        <f t="shared" si="5"/>
        <v>Adult</v>
      </c>
    </row>
    <row r="175" spans="1:11" x14ac:dyDescent="0.25">
      <c r="A175" s="4" t="s">
        <v>199</v>
      </c>
      <c r="B175" s="4" t="s">
        <v>10</v>
      </c>
      <c r="C175" s="4" t="s">
        <v>19</v>
      </c>
      <c r="D175" s="4" t="s">
        <v>24</v>
      </c>
      <c r="E175" s="4" t="s">
        <v>14</v>
      </c>
      <c r="F175" s="4">
        <v>81</v>
      </c>
      <c r="G175" s="8">
        <v>48117</v>
      </c>
      <c r="H175" s="4">
        <v>21</v>
      </c>
      <c r="I175" s="4">
        <v>67</v>
      </c>
      <c r="J175" s="2" t="str">
        <f t="shared" si="4"/>
        <v>Low Cost</v>
      </c>
      <c r="K175" s="2" t="str">
        <f t="shared" si="5"/>
        <v>Elderly</v>
      </c>
    </row>
    <row r="176" spans="1:11" x14ac:dyDescent="0.25">
      <c r="A176" s="4" t="s">
        <v>200</v>
      </c>
      <c r="B176" s="4" t="s">
        <v>21</v>
      </c>
      <c r="C176" s="4" t="s">
        <v>32</v>
      </c>
      <c r="D176" s="4" t="s">
        <v>31</v>
      </c>
      <c r="E176" s="4" t="s">
        <v>14</v>
      </c>
      <c r="F176" s="4">
        <v>36</v>
      </c>
      <c r="G176" s="8">
        <v>90628</v>
      </c>
      <c r="H176" s="4">
        <v>27</v>
      </c>
      <c r="I176" s="4">
        <v>59</v>
      </c>
      <c r="J176" s="2" t="str">
        <f t="shared" si="4"/>
        <v>Low Cost</v>
      </c>
      <c r="K176" s="2" t="str">
        <f t="shared" si="5"/>
        <v>Adult</v>
      </c>
    </row>
    <row r="177" spans="1:11" x14ac:dyDescent="0.25">
      <c r="A177" s="4" t="s">
        <v>201</v>
      </c>
      <c r="B177" s="4" t="s">
        <v>15</v>
      </c>
      <c r="C177" s="4" t="s">
        <v>27</v>
      </c>
      <c r="D177" s="4" t="s">
        <v>31</v>
      </c>
      <c r="E177" s="4" t="s">
        <v>14</v>
      </c>
      <c r="F177" s="4">
        <v>33</v>
      </c>
      <c r="G177" s="8">
        <v>22868</v>
      </c>
      <c r="H177" s="4">
        <v>5</v>
      </c>
      <c r="I177" s="4">
        <v>53</v>
      </c>
      <c r="J177" s="2" t="str">
        <f t="shared" si="4"/>
        <v>Low Cost</v>
      </c>
      <c r="K177" s="2" t="str">
        <f t="shared" si="5"/>
        <v>Adult</v>
      </c>
    </row>
    <row r="178" spans="1:11" x14ac:dyDescent="0.25">
      <c r="A178" s="4" t="s">
        <v>202</v>
      </c>
      <c r="B178" s="4" t="s">
        <v>15</v>
      </c>
      <c r="C178" s="4" t="s">
        <v>27</v>
      </c>
      <c r="D178" s="4" t="s">
        <v>11</v>
      </c>
      <c r="E178" s="4" t="s">
        <v>14</v>
      </c>
      <c r="F178" s="4">
        <v>49</v>
      </c>
      <c r="G178" s="8">
        <v>159122</v>
      </c>
      <c r="H178" s="4">
        <v>23</v>
      </c>
      <c r="I178" s="4">
        <v>74</v>
      </c>
      <c r="J178" s="2" t="str">
        <f t="shared" si="4"/>
        <v>High Cost</v>
      </c>
      <c r="K178" s="2" t="str">
        <f t="shared" si="5"/>
        <v>Middle-aged</v>
      </c>
    </row>
    <row r="179" spans="1:11" x14ac:dyDescent="0.25">
      <c r="A179" s="4" t="s">
        <v>203</v>
      </c>
      <c r="B179" s="4" t="s">
        <v>15</v>
      </c>
      <c r="C179" s="4" t="s">
        <v>27</v>
      </c>
      <c r="D179" s="4" t="s">
        <v>16</v>
      </c>
      <c r="E179" s="4" t="s">
        <v>14</v>
      </c>
      <c r="F179" s="4">
        <v>42</v>
      </c>
      <c r="G179" s="8">
        <v>71782</v>
      </c>
      <c r="H179" s="4">
        <v>9</v>
      </c>
      <c r="I179" s="4">
        <v>77</v>
      </c>
      <c r="J179" s="2" t="str">
        <f t="shared" si="4"/>
        <v>Low Cost</v>
      </c>
      <c r="K179" s="2" t="str">
        <f t="shared" si="5"/>
        <v>Adult</v>
      </c>
    </row>
    <row r="180" spans="1:11" x14ac:dyDescent="0.25">
      <c r="A180" s="4" t="s">
        <v>204</v>
      </c>
      <c r="B180" s="4" t="s">
        <v>36</v>
      </c>
      <c r="C180" s="4" t="s">
        <v>19</v>
      </c>
      <c r="D180" s="4" t="s">
        <v>16</v>
      </c>
      <c r="E180" s="4" t="s">
        <v>14</v>
      </c>
      <c r="F180" s="4">
        <v>32</v>
      </c>
      <c r="G180" s="8">
        <v>70482</v>
      </c>
      <c r="H180" s="4">
        <v>21</v>
      </c>
      <c r="I180" s="4">
        <v>55</v>
      </c>
      <c r="J180" s="2" t="str">
        <f t="shared" si="4"/>
        <v>Low Cost</v>
      </c>
      <c r="K180" s="2" t="str">
        <f t="shared" si="5"/>
        <v>Adult</v>
      </c>
    </row>
    <row r="181" spans="1:11" x14ac:dyDescent="0.25">
      <c r="A181" s="4" t="s">
        <v>205</v>
      </c>
      <c r="B181" s="4" t="s">
        <v>10</v>
      </c>
      <c r="C181" s="4" t="s">
        <v>12</v>
      </c>
      <c r="D181" s="4" t="s">
        <v>11</v>
      </c>
      <c r="E181" s="4" t="s">
        <v>14</v>
      </c>
      <c r="F181" s="4">
        <v>77</v>
      </c>
      <c r="G181" s="8">
        <v>117489</v>
      </c>
      <c r="H181" s="4">
        <v>6</v>
      </c>
      <c r="I181" s="4">
        <v>77</v>
      </c>
      <c r="J181" s="2" t="str">
        <f t="shared" si="4"/>
        <v>High Cost</v>
      </c>
      <c r="K181" s="2" t="str">
        <f t="shared" si="5"/>
        <v>Elderly</v>
      </c>
    </row>
    <row r="182" spans="1:11" x14ac:dyDescent="0.25">
      <c r="A182" s="4" t="s">
        <v>206</v>
      </c>
      <c r="B182" s="4" t="s">
        <v>21</v>
      </c>
      <c r="C182" s="4" t="s">
        <v>27</v>
      </c>
      <c r="D182" s="4" t="s">
        <v>24</v>
      </c>
      <c r="E182" s="4" t="s">
        <v>9</v>
      </c>
      <c r="F182" s="4">
        <v>33</v>
      </c>
      <c r="G182" s="8">
        <v>161902</v>
      </c>
      <c r="H182" s="4">
        <v>27</v>
      </c>
      <c r="I182" s="4">
        <v>50</v>
      </c>
      <c r="J182" s="2" t="str">
        <f t="shared" si="4"/>
        <v>High Cost</v>
      </c>
      <c r="K182" s="2" t="str">
        <f t="shared" si="5"/>
        <v>Adult</v>
      </c>
    </row>
    <row r="183" spans="1:11" x14ac:dyDescent="0.25">
      <c r="A183" s="4" t="s">
        <v>207</v>
      </c>
      <c r="B183" s="4" t="s">
        <v>21</v>
      </c>
      <c r="C183" s="4" t="s">
        <v>32</v>
      </c>
      <c r="D183" s="4" t="s">
        <v>11</v>
      </c>
      <c r="E183" s="4" t="s">
        <v>9</v>
      </c>
      <c r="F183" s="4">
        <v>51</v>
      </c>
      <c r="G183" s="8">
        <v>20304</v>
      </c>
      <c r="H183" s="4">
        <v>17</v>
      </c>
      <c r="I183" s="4">
        <v>80</v>
      </c>
      <c r="J183" s="2" t="str">
        <f t="shared" si="4"/>
        <v>Low Cost</v>
      </c>
      <c r="K183" s="2" t="str">
        <f t="shared" si="5"/>
        <v>Middle-aged</v>
      </c>
    </row>
    <row r="184" spans="1:11" x14ac:dyDescent="0.25">
      <c r="A184" s="4" t="s">
        <v>208</v>
      </c>
      <c r="B184" s="4" t="s">
        <v>10</v>
      </c>
      <c r="C184" s="4" t="s">
        <v>32</v>
      </c>
      <c r="D184" s="4" t="s">
        <v>24</v>
      </c>
      <c r="E184" s="4" t="s">
        <v>41</v>
      </c>
      <c r="F184" s="4">
        <v>6</v>
      </c>
      <c r="G184" s="8">
        <v>90802</v>
      </c>
      <c r="H184" s="4">
        <v>7</v>
      </c>
      <c r="I184" s="4">
        <v>55</v>
      </c>
      <c r="J184" s="2" t="str">
        <f t="shared" si="4"/>
        <v>Low Cost</v>
      </c>
      <c r="K184" s="2" t="str">
        <f t="shared" si="5"/>
        <v>Child</v>
      </c>
    </row>
    <row r="185" spans="1:11" x14ac:dyDescent="0.25">
      <c r="A185" s="4" t="s">
        <v>209</v>
      </c>
      <c r="B185" s="4" t="s">
        <v>15</v>
      </c>
      <c r="C185" s="4" t="s">
        <v>19</v>
      </c>
      <c r="D185" s="4" t="s">
        <v>31</v>
      </c>
      <c r="E185" s="4" t="s">
        <v>14</v>
      </c>
      <c r="F185" s="4">
        <v>21</v>
      </c>
      <c r="G185" s="8">
        <v>40710</v>
      </c>
      <c r="H185" s="4">
        <v>18</v>
      </c>
      <c r="I185" s="4">
        <v>89</v>
      </c>
      <c r="J185" s="2" t="str">
        <f t="shared" si="4"/>
        <v>Low Cost</v>
      </c>
      <c r="K185" s="2" t="str">
        <f t="shared" si="5"/>
        <v>Young Adult</v>
      </c>
    </row>
    <row r="186" spans="1:11" x14ac:dyDescent="0.25">
      <c r="A186" s="4" t="s">
        <v>210</v>
      </c>
      <c r="B186" s="4" t="s">
        <v>23</v>
      </c>
      <c r="C186" s="4" t="s">
        <v>12</v>
      </c>
      <c r="D186" s="4" t="s">
        <v>31</v>
      </c>
      <c r="E186" s="4" t="s">
        <v>14</v>
      </c>
      <c r="F186" s="4">
        <v>66</v>
      </c>
      <c r="G186" s="8">
        <v>123295</v>
      </c>
      <c r="H186" s="4">
        <v>9</v>
      </c>
      <c r="I186" s="4">
        <v>54</v>
      </c>
      <c r="J186" s="2" t="str">
        <f t="shared" si="4"/>
        <v>High Cost</v>
      </c>
      <c r="K186" s="2" t="str">
        <f t="shared" si="5"/>
        <v>Senior</v>
      </c>
    </row>
    <row r="187" spans="1:11" x14ac:dyDescent="0.25">
      <c r="A187" s="4" t="s">
        <v>211</v>
      </c>
      <c r="B187" s="4" t="s">
        <v>15</v>
      </c>
      <c r="C187" s="4" t="s">
        <v>32</v>
      </c>
      <c r="D187" s="4" t="s">
        <v>11</v>
      </c>
      <c r="E187" s="4" t="s">
        <v>14</v>
      </c>
      <c r="F187" s="4">
        <v>60</v>
      </c>
      <c r="G187" s="8">
        <v>161372</v>
      </c>
      <c r="H187" s="4">
        <v>14</v>
      </c>
      <c r="I187" s="4">
        <v>74</v>
      </c>
      <c r="J187" s="2" t="str">
        <f t="shared" si="4"/>
        <v>High Cost</v>
      </c>
      <c r="K187" s="2" t="str">
        <f t="shared" si="5"/>
        <v>Senior</v>
      </c>
    </row>
    <row r="188" spans="1:11" x14ac:dyDescent="0.25">
      <c r="A188" s="4" t="s">
        <v>212</v>
      </c>
      <c r="B188" s="4" t="s">
        <v>26</v>
      </c>
      <c r="C188" s="4" t="s">
        <v>27</v>
      </c>
      <c r="D188" s="4" t="s">
        <v>31</v>
      </c>
      <c r="E188" s="4" t="s">
        <v>9</v>
      </c>
      <c r="F188" s="4">
        <v>8</v>
      </c>
      <c r="G188" s="8">
        <v>101508</v>
      </c>
      <c r="H188" s="4">
        <v>8</v>
      </c>
      <c r="I188" s="4">
        <v>86</v>
      </c>
      <c r="J188" s="2" t="str">
        <f t="shared" si="4"/>
        <v>High Cost</v>
      </c>
      <c r="K188" s="2" t="str">
        <f t="shared" si="5"/>
        <v>Child</v>
      </c>
    </row>
    <row r="189" spans="1:11" x14ac:dyDescent="0.25">
      <c r="A189" s="4" t="s">
        <v>213</v>
      </c>
      <c r="B189" s="4" t="s">
        <v>10</v>
      </c>
      <c r="C189" s="4" t="s">
        <v>12</v>
      </c>
      <c r="D189" s="4" t="s">
        <v>16</v>
      </c>
      <c r="E189" s="4" t="s">
        <v>9</v>
      </c>
      <c r="F189" s="4">
        <v>60</v>
      </c>
      <c r="G189" s="8">
        <v>153453</v>
      </c>
      <c r="H189" s="4">
        <v>19</v>
      </c>
      <c r="I189" s="4">
        <v>76</v>
      </c>
      <c r="J189" s="2" t="str">
        <f t="shared" si="4"/>
        <v>High Cost</v>
      </c>
      <c r="K189" s="2" t="str">
        <f t="shared" si="5"/>
        <v>Senior</v>
      </c>
    </row>
    <row r="190" spans="1:11" x14ac:dyDescent="0.25">
      <c r="A190" s="4" t="s">
        <v>214</v>
      </c>
      <c r="B190" s="4" t="s">
        <v>10</v>
      </c>
      <c r="C190" s="4" t="s">
        <v>19</v>
      </c>
      <c r="D190" s="4" t="s">
        <v>31</v>
      </c>
      <c r="E190" s="4" t="s">
        <v>14</v>
      </c>
      <c r="F190" s="4">
        <v>29</v>
      </c>
      <c r="G190" s="8">
        <v>184791</v>
      </c>
      <c r="H190" s="4">
        <v>19</v>
      </c>
      <c r="I190" s="4">
        <v>82</v>
      </c>
      <c r="J190" s="2" t="str">
        <f t="shared" si="4"/>
        <v>High Cost</v>
      </c>
      <c r="K190" s="2" t="str">
        <f t="shared" si="5"/>
        <v>Young Adult</v>
      </c>
    </row>
    <row r="191" spans="1:11" x14ac:dyDescent="0.25">
      <c r="A191" s="4" t="s">
        <v>215</v>
      </c>
      <c r="B191" s="4" t="s">
        <v>15</v>
      </c>
      <c r="C191" s="4" t="s">
        <v>12</v>
      </c>
      <c r="D191" s="4" t="s">
        <v>11</v>
      </c>
      <c r="E191" s="4" t="s">
        <v>9</v>
      </c>
      <c r="F191" s="4">
        <v>81</v>
      </c>
      <c r="G191" s="8">
        <v>121064</v>
      </c>
      <c r="H191" s="4">
        <v>23</v>
      </c>
      <c r="I191" s="4">
        <v>71</v>
      </c>
      <c r="J191" s="2" t="str">
        <f t="shared" si="4"/>
        <v>High Cost</v>
      </c>
      <c r="K191" s="2" t="str">
        <f t="shared" si="5"/>
        <v>Elderly</v>
      </c>
    </row>
    <row r="192" spans="1:11" x14ac:dyDescent="0.25">
      <c r="A192" s="4" t="s">
        <v>216</v>
      </c>
      <c r="B192" s="4" t="s">
        <v>21</v>
      </c>
      <c r="C192" s="4" t="s">
        <v>27</v>
      </c>
      <c r="D192" s="4" t="s">
        <v>24</v>
      </c>
      <c r="E192" s="4" t="s">
        <v>14</v>
      </c>
      <c r="F192" s="4">
        <v>60</v>
      </c>
      <c r="G192" s="8">
        <v>59983</v>
      </c>
      <c r="H192" s="4">
        <v>15</v>
      </c>
      <c r="I192" s="4">
        <v>86</v>
      </c>
      <c r="J192" s="2" t="str">
        <f t="shared" si="4"/>
        <v>Low Cost</v>
      </c>
      <c r="K192" s="2" t="str">
        <f t="shared" si="5"/>
        <v>Senior</v>
      </c>
    </row>
    <row r="193" spans="1:11" x14ac:dyDescent="0.25">
      <c r="A193" s="4" t="s">
        <v>217</v>
      </c>
      <c r="B193" s="4" t="s">
        <v>23</v>
      </c>
      <c r="C193" s="4" t="s">
        <v>27</v>
      </c>
      <c r="D193" s="4" t="s">
        <v>18</v>
      </c>
      <c r="E193" s="4" t="s">
        <v>9</v>
      </c>
      <c r="F193" s="4">
        <v>36</v>
      </c>
      <c r="G193" s="8">
        <v>153347</v>
      </c>
      <c r="H193" s="4">
        <v>8</v>
      </c>
      <c r="I193" s="4">
        <v>92</v>
      </c>
      <c r="J193" s="2" t="str">
        <f t="shared" si="4"/>
        <v>High Cost</v>
      </c>
      <c r="K193" s="2" t="str">
        <f t="shared" si="5"/>
        <v>Adult</v>
      </c>
    </row>
    <row r="194" spans="1:11" x14ac:dyDescent="0.25">
      <c r="A194" s="4" t="s">
        <v>218</v>
      </c>
      <c r="B194" s="4" t="s">
        <v>36</v>
      </c>
      <c r="C194" s="4" t="s">
        <v>19</v>
      </c>
      <c r="D194" s="4" t="s">
        <v>31</v>
      </c>
      <c r="E194" s="4" t="s">
        <v>14</v>
      </c>
      <c r="F194" s="4">
        <v>3</v>
      </c>
      <c r="G194" s="8">
        <v>36600</v>
      </c>
      <c r="H194" s="4">
        <v>17</v>
      </c>
      <c r="I194" s="4">
        <v>87</v>
      </c>
      <c r="J194" s="2" t="str">
        <f t="shared" si="4"/>
        <v>Low Cost</v>
      </c>
      <c r="K194" s="2" t="str">
        <f t="shared" si="5"/>
        <v>Infant / Toddler</v>
      </c>
    </row>
    <row r="195" spans="1:11" x14ac:dyDescent="0.25">
      <c r="A195" s="4" t="s">
        <v>219</v>
      </c>
      <c r="B195" s="4" t="s">
        <v>26</v>
      </c>
      <c r="C195" s="4" t="s">
        <v>12</v>
      </c>
      <c r="D195" s="4" t="s">
        <v>16</v>
      </c>
      <c r="E195" s="4" t="s">
        <v>9</v>
      </c>
      <c r="F195" s="4">
        <v>46</v>
      </c>
      <c r="G195" s="8">
        <v>134063</v>
      </c>
      <c r="H195" s="4">
        <v>3</v>
      </c>
      <c r="I195" s="4">
        <v>67</v>
      </c>
      <c r="J195" s="2" t="str">
        <f t="shared" ref="J195:J258" si="6">IF(G195&gt;100000, "High Cost", "Low Cost")</f>
        <v>High Cost</v>
      </c>
      <c r="K195" s="2" t="str">
        <f t="shared" ref="K195:K258" si="7">IF(F195&lt;=5,"Infant / Toddler",IF(F195&lt;=12,"Child",IF(F195&lt;=19,"Teenager",IF(F195&lt;=29,"Young Adult",IF(F195&lt;=44,"Adult",IF(F195&lt;=59,"Middle-aged",IF(F195&lt;=74,"Senior","Elderly")))))))</f>
        <v>Middle-aged</v>
      </c>
    </row>
    <row r="196" spans="1:11" x14ac:dyDescent="0.25">
      <c r="A196" s="4" t="s">
        <v>220</v>
      </c>
      <c r="B196" s="4" t="s">
        <v>15</v>
      </c>
      <c r="C196" s="4" t="s">
        <v>32</v>
      </c>
      <c r="D196" s="4" t="s">
        <v>11</v>
      </c>
      <c r="E196" s="4" t="s">
        <v>9</v>
      </c>
      <c r="F196" s="4">
        <v>28</v>
      </c>
      <c r="G196" s="8">
        <v>135445</v>
      </c>
      <c r="H196" s="4">
        <v>12</v>
      </c>
      <c r="I196" s="4">
        <v>80</v>
      </c>
      <c r="J196" s="2" t="str">
        <f t="shared" si="6"/>
        <v>High Cost</v>
      </c>
      <c r="K196" s="2" t="str">
        <f t="shared" si="7"/>
        <v>Young Adult</v>
      </c>
    </row>
    <row r="197" spans="1:11" x14ac:dyDescent="0.25">
      <c r="A197" s="4" t="s">
        <v>221</v>
      </c>
      <c r="B197" s="4" t="s">
        <v>15</v>
      </c>
      <c r="C197" s="4" t="s">
        <v>27</v>
      </c>
      <c r="D197" s="4" t="s">
        <v>18</v>
      </c>
      <c r="E197" s="4" t="s">
        <v>9</v>
      </c>
      <c r="F197" s="4">
        <v>73</v>
      </c>
      <c r="G197" s="8">
        <v>101529</v>
      </c>
      <c r="H197" s="4">
        <v>19</v>
      </c>
      <c r="I197" s="4">
        <v>69</v>
      </c>
      <c r="J197" s="2" t="str">
        <f t="shared" si="6"/>
        <v>High Cost</v>
      </c>
      <c r="K197" s="2" t="str">
        <f t="shared" si="7"/>
        <v>Senior</v>
      </c>
    </row>
    <row r="198" spans="1:11" x14ac:dyDescent="0.25">
      <c r="A198" s="4" t="s">
        <v>222</v>
      </c>
      <c r="B198" s="4" t="s">
        <v>21</v>
      </c>
      <c r="C198" s="4" t="s">
        <v>32</v>
      </c>
      <c r="D198" s="4" t="s">
        <v>16</v>
      </c>
      <c r="E198" s="4" t="s">
        <v>9</v>
      </c>
      <c r="F198" s="4">
        <v>31</v>
      </c>
      <c r="G198" s="8">
        <v>168366</v>
      </c>
      <c r="H198" s="4">
        <v>8</v>
      </c>
      <c r="I198" s="4">
        <v>76</v>
      </c>
      <c r="J198" s="2" t="str">
        <f t="shared" si="6"/>
        <v>High Cost</v>
      </c>
      <c r="K198" s="2" t="str">
        <f t="shared" si="7"/>
        <v>Adult</v>
      </c>
    </row>
    <row r="199" spans="1:11" x14ac:dyDescent="0.25">
      <c r="A199" s="4" t="s">
        <v>223</v>
      </c>
      <c r="B199" s="4" t="s">
        <v>10</v>
      </c>
      <c r="C199" s="4" t="s">
        <v>32</v>
      </c>
      <c r="D199" s="4" t="s">
        <v>24</v>
      </c>
      <c r="E199" s="4" t="s">
        <v>9</v>
      </c>
      <c r="F199" s="4">
        <v>36</v>
      </c>
      <c r="G199" s="8">
        <v>28716</v>
      </c>
      <c r="H199" s="4">
        <v>29</v>
      </c>
      <c r="I199" s="4">
        <v>73</v>
      </c>
      <c r="J199" s="2" t="str">
        <f t="shared" si="6"/>
        <v>Low Cost</v>
      </c>
      <c r="K199" s="2" t="str">
        <f t="shared" si="7"/>
        <v>Adult</v>
      </c>
    </row>
    <row r="200" spans="1:11" x14ac:dyDescent="0.25">
      <c r="A200" s="4" t="s">
        <v>224</v>
      </c>
      <c r="B200" s="4" t="s">
        <v>26</v>
      </c>
      <c r="C200" s="4" t="s">
        <v>12</v>
      </c>
      <c r="D200" s="4" t="s">
        <v>18</v>
      </c>
      <c r="E200" s="4" t="s">
        <v>9</v>
      </c>
      <c r="F200" s="4">
        <v>35</v>
      </c>
      <c r="G200" s="8">
        <v>91050</v>
      </c>
      <c r="H200" s="4">
        <v>22</v>
      </c>
      <c r="I200" s="4">
        <v>65</v>
      </c>
      <c r="J200" s="2" t="str">
        <f t="shared" si="6"/>
        <v>Low Cost</v>
      </c>
      <c r="K200" s="2" t="str">
        <f t="shared" si="7"/>
        <v>Adult</v>
      </c>
    </row>
    <row r="201" spans="1:11" x14ac:dyDescent="0.25">
      <c r="A201" s="4" t="s">
        <v>225</v>
      </c>
      <c r="B201" s="4" t="s">
        <v>26</v>
      </c>
      <c r="C201" s="4" t="s">
        <v>19</v>
      </c>
      <c r="D201" s="4" t="s">
        <v>24</v>
      </c>
      <c r="E201" s="4" t="s">
        <v>14</v>
      </c>
      <c r="F201" s="4">
        <v>39</v>
      </c>
      <c r="G201" s="8">
        <v>124862</v>
      </c>
      <c r="H201" s="4">
        <v>23</v>
      </c>
      <c r="I201" s="4">
        <v>88</v>
      </c>
      <c r="J201" s="2" t="str">
        <f t="shared" si="6"/>
        <v>High Cost</v>
      </c>
      <c r="K201" s="2" t="str">
        <f t="shared" si="7"/>
        <v>Adult</v>
      </c>
    </row>
    <row r="202" spans="1:11" x14ac:dyDescent="0.25">
      <c r="A202" s="4" t="s">
        <v>226</v>
      </c>
      <c r="B202" s="4" t="s">
        <v>36</v>
      </c>
      <c r="C202" s="4" t="s">
        <v>27</v>
      </c>
      <c r="D202" s="4" t="s">
        <v>16</v>
      </c>
      <c r="E202" s="4" t="s">
        <v>14</v>
      </c>
      <c r="F202" s="4">
        <v>29</v>
      </c>
      <c r="G202" s="8">
        <v>116528</v>
      </c>
      <c r="H202" s="4">
        <v>23</v>
      </c>
      <c r="I202" s="4">
        <v>53</v>
      </c>
      <c r="J202" s="2" t="str">
        <f t="shared" si="6"/>
        <v>High Cost</v>
      </c>
      <c r="K202" s="2" t="str">
        <f t="shared" si="7"/>
        <v>Young Adult</v>
      </c>
    </row>
    <row r="203" spans="1:11" x14ac:dyDescent="0.25">
      <c r="A203" s="4" t="s">
        <v>227</v>
      </c>
      <c r="B203" s="4" t="s">
        <v>23</v>
      </c>
      <c r="C203" s="4" t="s">
        <v>12</v>
      </c>
      <c r="D203" s="4" t="s">
        <v>16</v>
      </c>
      <c r="E203" s="4" t="s">
        <v>14</v>
      </c>
      <c r="F203" s="4">
        <v>30</v>
      </c>
      <c r="G203" s="8">
        <v>189376</v>
      </c>
      <c r="H203" s="4">
        <v>14</v>
      </c>
      <c r="I203" s="4">
        <v>62</v>
      </c>
      <c r="J203" s="2" t="str">
        <f t="shared" si="6"/>
        <v>High Cost</v>
      </c>
      <c r="K203" s="2" t="str">
        <f t="shared" si="7"/>
        <v>Adult</v>
      </c>
    </row>
    <row r="204" spans="1:11" x14ac:dyDescent="0.25">
      <c r="A204" s="4" t="s">
        <v>228</v>
      </c>
      <c r="B204" s="4" t="s">
        <v>15</v>
      </c>
      <c r="C204" s="4" t="s">
        <v>19</v>
      </c>
      <c r="D204" s="4" t="s">
        <v>18</v>
      </c>
      <c r="E204" s="4" t="s">
        <v>14</v>
      </c>
      <c r="F204" s="4">
        <v>53</v>
      </c>
      <c r="G204" s="8">
        <v>82672</v>
      </c>
      <c r="H204" s="4">
        <v>7</v>
      </c>
      <c r="I204" s="4">
        <v>58</v>
      </c>
      <c r="J204" s="2" t="str">
        <f t="shared" si="6"/>
        <v>Low Cost</v>
      </c>
      <c r="K204" s="2" t="str">
        <f t="shared" si="7"/>
        <v>Middle-aged</v>
      </c>
    </row>
    <row r="205" spans="1:11" x14ac:dyDescent="0.25">
      <c r="A205" s="4" t="s">
        <v>229</v>
      </c>
      <c r="B205" s="4" t="s">
        <v>26</v>
      </c>
      <c r="C205" s="4" t="s">
        <v>19</v>
      </c>
      <c r="D205" s="4" t="s">
        <v>31</v>
      </c>
      <c r="E205" s="4" t="s">
        <v>9</v>
      </c>
      <c r="F205" s="4">
        <v>12</v>
      </c>
      <c r="G205" s="8">
        <v>32701</v>
      </c>
      <c r="H205" s="4">
        <v>30</v>
      </c>
      <c r="I205" s="4">
        <v>94</v>
      </c>
      <c r="J205" s="2" t="str">
        <f t="shared" si="6"/>
        <v>Low Cost</v>
      </c>
      <c r="K205" s="2" t="str">
        <f t="shared" si="7"/>
        <v>Child</v>
      </c>
    </row>
    <row r="206" spans="1:11" x14ac:dyDescent="0.25">
      <c r="A206" s="4" t="s">
        <v>230</v>
      </c>
      <c r="B206" s="4" t="s">
        <v>23</v>
      </c>
      <c r="C206" s="4" t="s">
        <v>32</v>
      </c>
      <c r="D206" s="4" t="s">
        <v>16</v>
      </c>
      <c r="E206" s="4" t="s">
        <v>14</v>
      </c>
      <c r="F206" s="4">
        <v>45</v>
      </c>
      <c r="G206" s="8">
        <v>60523</v>
      </c>
      <c r="H206" s="4">
        <v>26</v>
      </c>
      <c r="I206" s="4">
        <v>74</v>
      </c>
      <c r="J206" s="2" t="str">
        <f t="shared" si="6"/>
        <v>Low Cost</v>
      </c>
      <c r="K206" s="2" t="str">
        <f t="shared" si="7"/>
        <v>Middle-aged</v>
      </c>
    </row>
    <row r="207" spans="1:11" x14ac:dyDescent="0.25">
      <c r="A207" s="4" t="s">
        <v>231</v>
      </c>
      <c r="B207" s="4" t="s">
        <v>10</v>
      </c>
      <c r="C207" s="4" t="s">
        <v>27</v>
      </c>
      <c r="D207" s="4" t="s">
        <v>18</v>
      </c>
      <c r="E207" s="4" t="s">
        <v>14</v>
      </c>
      <c r="F207" s="4">
        <v>72</v>
      </c>
      <c r="G207" s="8">
        <v>139196</v>
      </c>
      <c r="H207" s="4">
        <v>15</v>
      </c>
      <c r="I207" s="4">
        <v>51</v>
      </c>
      <c r="J207" s="2" t="str">
        <f t="shared" si="6"/>
        <v>High Cost</v>
      </c>
      <c r="K207" s="2" t="str">
        <f t="shared" si="7"/>
        <v>Senior</v>
      </c>
    </row>
    <row r="208" spans="1:11" x14ac:dyDescent="0.25">
      <c r="A208" s="4" t="s">
        <v>232</v>
      </c>
      <c r="B208" s="4" t="s">
        <v>26</v>
      </c>
      <c r="C208" s="4" t="s">
        <v>32</v>
      </c>
      <c r="D208" s="4" t="s">
        <v>24</v>
      </c>
      <c r="E208" s="4" t="s">
        <v>9</v>
      </c>
      <c r="F208" s="4">
        <v>52</v>
      </c>
      <c r="G208" s="8">
        <v>110991</v>
      </c>
      <c r="H208" s="4">
        <v>7</v>
      </c>
      <c r="I208" s="4">
        <v>51</v>
      </c>
      <c r="J208" s="2" t="str">
        <f t="shared" si="6"/>
        <v>High Cost</v>
      </c>
      <c r="K208" s="2" t="str">
        <f t="shared" si="7"/>
        <v>Middle-aged</v>
      </c>
    </row>
    <row r="209" spans="1:11" x14ac:dyDescent="0.25">
      <c r="A209" s="4" t="s">
        <v>233</v>
      </c>
      <c r="B209" s="4" t="s">
        <v>26</v>
      </c>
      <c r="C209" s="4" t="s">
        <v>32</v>
      </c>
      <c r="D209" s="4" t="s">
        <v>11</v>
      </c>
      <c r="E209" s="4" t="s">
        <v>14</v>
      </c>
      <c r="F209" s="4">
        <v>54</v>
      </c>
      <c r="G209" s="8">
        <v>178064</v>
      </c>
      <c r="H209" s="4">
        <v>7</v>
      </c>
      <c r="I209" s="4">
        <v>67</v>
      </c>
      <c r="J209" s="2" t="str">
        <f t="shared" si="6"/>
        <v>High Cost</v>
      </c>
      <c r="K209" s="2" t="str">
        <f t="shared" si="7"/>
        <v>Middle-aged</v>
      </c>
    </row>
    <row r="210" spans="1:11" x14ac:dyDescent="0.25">
      <c r="A210" s="4" t="s">
        <v>234</v>
      </c>
      <c r="B210" s="4" t="s">
        <v>10</v>
      </c>
      <c r="C210" s="4" t="s">
        <v>12</v>
      </c>
      <c r="D210" s="4" t="s">
        <v>11</v>
      </c>
      <c r="E210" s="4" t="s">
        <v>41</v>
      </c>
      <c r="F210" s="4">
        <v>49</v>
      </c>
      <c r="G210" s="8">
        <v>31919</v>
      </c>
      <c r="H210" s="4">
        <v>18</v>
      </c>
      <c r="I210" s="4">
        <v>94</v>
      </c>
      <c r="J210" s="2" t="str">
        <f t="shared" si="6"/>
        <v>Low Cost</v>
      </c>
      <c r="K210" s="2" t="str">
        <f t="shared" si="7"/>
        <v>Middle-aged</v>
      </c>
    </row>
    <row r="211" spans="1:11" x14ac:dyDescent="0.25">
      <c r="A211" s="4" t="s">
        <v>235</v>
      </c>
      <c r="B211" s="4" t="s">
        <v>15</v>
      </c>
      <c r="C211" s="4" t="s">
        <v>19</v>
      </c>
      <c r="D211" s="4" t="s">
        <v>24</v>
      </c>
      <c r="E211" s="4" t="s">
        <v>9</v>
      </c>
      <c r="F211" s="4">
        <v>70</v>
      </c>
      <c r="G211" s="8">
        <v>84569</v>
      </c>
      <c r="H211" s="4">
        <v>23</v>
      </c>
      <c r="I211" s="4">
        <v>55</v>
      </c>
      <c r="J211" s="2" t="str">
        <f t="shared" si="6"/>
        <v>Low Cost</v>
      </c>
      <c r="K211" s="2" t="str">
        <f t="shared" si="7"/>
        <v>Senior</v>
      </c>
    </row>
    <row r="212" spans="1:11" x14ac:dyDescent="0.25">
      <c r="A212" s="4" t="s">
        <v>236</v>
      </c>
      <c r="B212" s="4" t="s">
        <v>26</v>
      </c>
      <c r="C212" s="4" t="s">
        <v>27</v>
      </c>
      <c r="D212" s="4" t="s">
        <v>16</v>
      </c>
      <c r="E212" s="4" t="s">
        <v>9</v>
      </c>
      <c r="F212" s="4">
        <v>40</v>
      </c>
      <c r="G212" s="8">
        <v>124989</v>
      </c>
      <c r="H212" s="4">
        <v>10</v>
      </c>
      <c r="I212" s="4">
        <v>50</v>
      </c>
      <c r="J212" s="2" t="str">
        <f t="shared" si="6"/>
        <v>High Cost</v>
      </c>
      <c r="K212" s="2" t="str">
        <f t="shared" si="7"/>
        <v>Adult</v>
      </c>
    </row>
    <row r="213" spans="1:11" x14ac:dyDescent="0.25">
      <c r="A213" s="4" t="s">
        <v>237</v>
      </c>
      <c r="B213" s="4" t="s">
        <v>15</v>
      </c>
      <c r="C213" s="4" t="s">
        <v>27</v>
      </c>
      <c r="D213" s="4" t="s">
        <v>24</v>
      </c>
      <c r="E213" s="4" t="s">
        <v>9</v>
      </c>
      <c r="F213" s="4">
        <v>84</v>
      </c>
      <c r="G213" s="8">
        <v>99429</v>
      </c>
      <c r="H213" s="4">
        <v>4</v>
      </c>
      <c r="I213" s="4">
        <v>71</v>
      </c>
      <c r="J213" s="2" t="str">
        <f t="shared" si="6"/>
        <v>Low Cost</v>
      </c>
      <c r="K213" s="2" t="str">
        <f t="shared" si="7"/>
        <v>Elderly</v>
      </c>
    </row>
    <row r="214" spans="1:11" x14ac:dyDescent="0.25">
      <c r="A214" s="4" t="s">
        <v>238</v>
      </c>
      <c r="B214" s="4" t="s">
        <v>21</v>
      </c>
      <c r="C214" s="4" t="s">
        <v>32</v>
      </c>
      <c r="D214" s="4" t="s">
        <v>18</v>
      </c>
      <c r="E214" s="4" t="s">
        <v>9</v>
      </c>
      <c r="F214" s="4">
        <v>1</v>
      </c>
      <c r="G214" s="8">
        <v>52801</v>
      </c>
      <c r="H214" s="4">
        <v>17</v>
      </c>
      <c r="I214" s="4">
        <v>90</v>
      </c>
      <c r="J214" s="2" t="str">
        <f t="shared" si="6"/>
        <v>Low Cost</v>
      </c>
      <c r="K214" s="2" t="str">
        <f t="shared" si="7"/>
        <v>Infant / Toddler</v>
      </c>
    </row>
    <row r="215" spans="1:11" x14ac:dyDescent="0.25">
      <c r="A215" s="4" t="s">
        <v>239</v>
      </c>
      <c r="B215" s="4" t="s">
        <v>15</v>
      </c>
      <c r="C215" s="4" t="s">
        <v>27</v>
      </c>
      <c r="D215" s="4" t="s">
        <v>18</v>
      </c>
      <c r="E215" s="4" t="s">
        <v>9</v>
      </c>
      <c r="F215" s="4">
        <v>46</v>
      </c>
      <c r="G215" s="8">
        <v>51871</v>
      </c>
      <c r="H215" s="4">
        <v>20</v>
      </c>
      <c r="I215" s="4">
        <v>82</v>
      </c>
      <c r="J215" s="2" t="str">
        <f t="shared" si="6"/>
        <v>Low Cost</v>
      </c>
      <c r="K215" s="2" t="str">
        <f t="shared" si="7"/>
        <v>Middle-aged</v>
      </c>
    </row>
    <row r="216" spans="1:11" x14ac:dyDescent="0.25">
      <c r="A216" s="4" t="s">
        <v>240</v>
      </c>
      <c r="B216" s="4" t="s">
        <v>10</v>
      </c>
      <c r="C216" s="4" t="s">
        <v>27</v>
      </c>
      <c r="D216" s="4" t="s">
        <v>31</v>
      </c>
      <c r="E216" s="4" t="s">
        <v>14</v>
      </c>
      <c r="F216" s="4">
        <v>63</v>
      </c>
      <c r="G216" s="8">
        <v>110071</v>
      </c>
      <c r="H216" s="4">
        <v>14</v>
      </c>
      <c r="I216" s="4">
        <v>55</v>
      </c>
      <c r="J216" s="2" t="str">
        <f t="shared" si="6"/>
        <v>High Cost</v>
      </c>
      <c r="K216" s="2" t="str">
        <f t="shared" si="7"/>
        <v>Senior</v>
      </c>
    </row>
    <row r="217" spans="1:11" x14ac:dyDescent="0.25">
      <c r="A217" s="4" t="s">
        <v>241</v>
      </c>
      <c r="B217" s="4" t="s">
        <v>15</v>
      </c>
      <c r="C217" s="4" t="s">
        <v>27</v>
      </c>
      <c r="D217" s="4" t="s">
        <v>24</v>
      </c>
      <c r="E217" s="4" t="s">
        <v>9</v>
      </c>
      <c r="F217" s="4">
        <v>19</v>
      </c>
      <c r="G217" s="8">
        <v>192248</v>
      </c>
      <c r="H217" s="4">
        <v>28</v>
      </c>
      <c r="I217" s="4">
        <v>90</v>
      </c>
      <c r="J217" s="2" t="str">
        <f t="shared" si="6"/>
        <v>High Cost</v>
      </c>
      <c r="K217" s="2" t="str">
        <f t="shared" si="7"/>
        <v>Teenager</v>
      </c>
    </row>
    <row r="218" spans="1:11" x14ac:dyDescent="0.25">
      <c r="A218" s="4" t="s">
        <v>242</v>
      </c>
      <c r="B218" s="4" t="s">
        <v>10</v>
      </c>
      <c r="C218" s="4" t="s">
        <v>32</v>
      </c>
      <c r="D218" s="4" t="s">
        <v>11</v>
      </c>
      <c r="E218" s="4" t="s">
        <v>9</v>
      </c>
      <c r="F218" s="4">
        <v>56</v>
      </c>
      <c r="G218" s="8">
        <v>33514</v>
      </c>
      <c r="H218" s="4">
        <v>18</v>
      </c>
      <c r="I218" s="4">
        <v>68</v>
      </c>
      <c r="J218" s="2" t="str">
        <f t="shared" si="6"/>
        <v>Low Cost</v>
      </c>
      <c r="K218" s="2" t="str">
        <f t="shared" si="7"/>
        <v>Middle-aged</v>
      </c>
    </row>
    <row r="219" spans="1:11" x14ac:dyDescent="0.25">
      <c r="A219" s="4" t="s">
        <v>243</v>
      </c>
      <c r="B219" s="4" t="s">
        <v>21</v>
      </c>
      <c r="C219" s="4" t="s">
        <v>19</v>
      </c>
      <c r="D219" s="4" t="s">
        <v>31</v>
      </c>
      <c r="E219" s="4" t="s">
        <v>9</v>
      </c>
      <c r="F219" s="4">
        <v>50</v>
      </c>
      <c r="G219" s="8">
        <v>130778</v>
      </c>
      <c r="H219" s="4">
        <v>21</v>
      </c>
      <c r="I219" s="4">
        <v>91</v>
      </c>
      <c r="J219" s="2" t="str">
        <f t="shared" si="6"/>
        <v>High Cost</v>
      </c>
      <c r="K219" s="2" t="str">
        <f t="shared" si="7"/>
        <v>Middle-aged</v>
      </c>
    </row>
    <row r="220" spans="1:11" x14ac:dyDescent="0.25">
      <c r="A220" s="4" t="s">
        <v>244</v>
      </c>
      <c r="B220" s="4" t="s">
        <v>15</v>
      </c>
      <c r="C220" s="4" t="s">
        <v>32</v>
      </c>
      <c r="D220" s="4" t="s">
        <v>18</v>
      </c>
      <c r="E220" s="4" t="s">
        <v>9</v>
      </c>
      <c r="F220" s="4">
        <v>11</v>
      </c>
      <c r="G220" s="8">
        <v>179122</v>
      </c>
      <c r="H220" s="4">
        <v>17</v>
      </c>
      <c r="I220" s="4">
        <v>84</v>
      </c>
      <c r="J220" s="2" t="str">
        <f t="shared" si="6"/>
        <v>High Cost</v>
      </c>
      <c r="K220" s="2" t="str">
        <f t="shared" si="7"/>
        <v>Child</v>
      </c>
    </row>
    <row r="221" spans="1:11" x14ac:dyDescent="0.25">
      <c r="A221" s="4" t="s">
        <v>245</v>
      </c>
      <c r="B221" s="4" t="s">
        <v>23</v>
      </c>
      <c r="C221" s="4" t="s">
        <v>32</v>
      </c>
      <c r="D221" s="4" t="s">
        <v>24</v>
      </c>
      <c r="E221" s="4" t="s">
        <v>9</v>
      </c>
      <c r="F221" s="4">
        <v>39</v>
      </c>
      <c r="G221" s="8">
        <v>86154</v>
      </c>
      <c r="H221" s="4">
        <v>4</v>
      </c>
      <c r="I221" s="4">
        <v>69</v>
      </c>
      <c r="J221" s="2" t="str">
        <f t="shared" si="6"/>
        <v>Low Cost</v>
      </c>
      <c r="K221" s="2" t="str">
        <f t="shared" si="7"/>
        <v>Adult</v>
      </c>
    </row>
    <row r="222" spans="1:11" x14ac:dyDescent="0.25">
      <c r="A222" s="4" t="s">
        <v>246</v>
      </c>
      <c r="B222" s="4" t="s">
        <v>23</v>
      </c>
      <c r="C222" s="4" t="s">
        <v>27</v>
      </c>
      <c r="D222" s="4" t="s">
        <v>24</v>
      </c>
      <c r="E222" s="4" t="s">
        <v>9</v>
      </c>
      <c r="F222" s="4">
        <v>44</v>
      </c>
      <c r="G222" s="8">
        <v>39712</v>
      </c>
      <c r="H222" s="4">
        <v>10</v>
      </c>
      <c r="I222" s="4">
        <v>55</v>
      </c>
      <c r="J222" s="2" t="str">
        <f t="shared" si="6"/>
        <v>Low Cost</v>
      </c>
      <c r="K222" s="2" t="str">
        <f t="shared" si="7"/>
        <v>Adult</v>
      </c>
    </row>
    <row r="223" spans="1:11" x14ac:dyDescent="0.25">
      <c r="A223" s="4" t="s">
        <v>247</v>
      </c>
      <c r="B223" s="4" t="s">
        <v>10</v>
      </c>
      <c r="C223" s="4" t="s">
        <v>19</v>
      </c>
      <c r="D223" s="4" t="s">
        <v>18</v>
      </c>
      <c r="E223" s="4" t="s">
        <v>9</v>
      </c>
      <c r="F223" s="4">
        <v>35</v>
      </c>
      <c r="G223" s="8">
        <v>51011</v>
      </c>
      <c r="H223" s="4">
        <v>5</v>
      </c>
      <c r="I223" s="4">
        <v>64</v>
      </c>
      <c r="J223" s="2" t="str">
        <f t="shared" si="6"/>
        <v>Low Cost</v>
      </c>
      <c r="K223" s="2" t="str">
        <f t="shared" si="7"/>
        <v>Adult</v>
      </c>
    </row>
    <row r="224" spans="1:11" x14ac:dyDescent="0.25">
      <c r="A224" s="4" t="s">
        <v>248</v>
      </c>
      <c r="B224" s="4" t="s">
        <v>23</v>
      </c>
      <c r="C224" s="4" t="s">
        <v>19</v>
      </c>
      <c r="D224" s="4" t="s">
        <v>31</v>
      </c>
      <c r="E224" s="4" t="s">
        <v>9</v>
      </c>
      <c r="F224" s="4">
        <v>47</v>
      </c>
      <c r="G224" s="8">
        <v>49603</v>
      </c>
      <c r="H224" s="4">
        <v>18</v>
      </c>
      <c r="I224" s="4">
        <v>83</v>
      </c>
      <c r="J224" s="2" t="str">
        <f t="shared" si="6"/>
        <v>Low Cost</v>
      </c>
      <c r="K224" s="2" t="str">
        <f t="shared" si="7"/>
        <v>Middle-aged</v>
      </c>
    </row>
    <row r="225" spans="1:11" x14ac:dyDescent="0.25">
      <c r="A225" s="4" t="s">
        <v>249</v>
      </c>
      <c r="B225" s="4" t="s">
        <v>15</v>
      </c>
      <c r="C225" s="4" t="s">
        <v>32</v>
      </c>
      <c r="D225" s="4" t="s">
        <v>31</v>
      </c>
      <c r="E225" s="4" t="s">
        <v>14</v>
      </c>
      <c r="F225" s="4">
        <v>82</v>
      </c>
      <c r="G225" s="8">
        <v>22764</v>
      </c>
      <c r="H225" s="4">
        <v>27</v>
      </c>
      <c r="I225" s="4">
        <v>50</v>
      </c>
      <c r="J225" s="2" t="str">
        <f t="shared" si="6"/>
        <v>Low Cost</v>
      </c>
      <c r="K225" s="2" t="str">
        <f t="shared" si="7"/>
        <v>Elderly</v>
      </c>
    </row>
    <row r="226" spans="1:11" x14ac:dyDescent="0.25">
      <c r="A226" s="4" t="s">
        <v>250</v>
      </c>
      <c r="B226" s="4" t="s">
        <v>15</v>
      </c>
      <c r="C226" s="4" t="s">
        <v>19</v>
      </c>
      <c r="D226" s="4" t="s">
        <v>11</v>
      </c>
      <c r="E226" s="4" t="s">
        <v>14</v>
      </c>
      <c r="F226" s="4">
        <v>32</v>
      </c>
      <c r="G226" s="8">
        <v>84984</v>
      </c>
      <c r="H226" s="4">
        <v>27</v>
      </c>
      <c r="I226" s="4">
        <v>50</v>
      </c>
      <c r="J226" s="2" t="str">
        <f t="shared" si="6"/>
        <v>Low Cost</v>
      </c>
      <c r="K226" s="2" t="str">
        <f t="shared" si="7"/>
        <v>Adult</v>
      </c>
    </row>
    <row r="227" spans="1:11" x14ac:dyDescent="0.25">
      <c r="A227" s="4" t="s">
        <v>251</v>
      </c>
      <c r="B227" s="4" t="s">
        <v>15</v>
      </c>
      <c r="C227" s="4" t="s">
        <v>27</v>
      </c>
      <c r="D227" s="4" t="s">
        <v>16</v>
      </c>
      <c r="E227" s="4" t="s">
        <v>9</v>
      </c>
      <c r="F227" s="4">
        <v>84</v>
      </c>
      <c r="G227" s="8">
        <v>101908</v>
      </c>
      <c r="H227" s="4">
        <v>23</v>
      </c>
      <c r="I227" s="4">
        <v>52</v>
      </c>
      <c r="J227" s="2" t="str">
        <f t="shared" si="6"/>
        <v>High Cost</v>
      </c>
      <c r="K227" s="2" t="str">
        <f t="shared" si="7"/>
        <v>Elderly</v>
      </c>
    </row>
    <row r="228" spans="1:11" x14ac:dyDescent="0.25">
      <c r="A228" s="4" t="s">
        <v>252</v>
      </c>
      <c r="B228" s="4" t="s">
        <v>26</v>
      </c>
      <c r="C228" s="4" t="s">
        <v>19</v>
      </c>
      <c r="D228" s="4" t="s">
        <v>11</v>
      </c>
      <c r="E228" s="4" t="s">
        <v>14</v>
      </c>
      <c r="F228" s="4">
        <v>19</v>
      </c>
      <c r="G228" s="8">
        <v>70118</v>
      </c>
      <c r="H228" s="4">
        <v>21</v>
      </c>
      <c r="I228" s="4">
        <v>56</v>
      </c>
      <c r="J228" s="2" t="str">
        <f t="shared" si="6"/>
        <v>Low Cost</v>
      </c>
      <c r="K228" s="2" t="str">
        <f t="shared" si="7"/>
        <v>Teenager</v>
      </c>
    </row>
    <row r="229" spans="1:11" x14ac:dyDescent="0.25">
      <c r="A229" s="4" t="s">
        <v>253</v>
      </c>
      <c r="B229" s="4" t="s">
        <v>21</v>
      </c>
      <c r="C229" s="4" t="s">
        <v>19</v>
      </c>
      <c r="D229" s="4" t="s">
        <v>24</v>
      </c>
      <c r="E229" s="4" t="s">
        <v>9</v>
      </c>
      <c r="F229" s="4">
        <v>8</v>
      </c>
      <c r="G229" s="8">
        <v>194831</v>
      </c>
      <c r="H229" s="4">
        <v>3</v>
      </c>
      <c r="I229" s="4">
        <v>89</v>
      </c>
      <c r="J229" s="2" t="str">
        <f t="shared" si="6"/>
        <v>High Cost</v>
      </c>
      <c r="K229" s="2" t="str">
        <f t="shared" si="7"/>
        <v>Child</v>
      </c>
    </row>
    <row r="230" spans="1:11" x14ac:dyDescent="0.25">
      <c r="A230" s="4" t="s">
        <v>254</v>
      </c>
      <c r="B230" s="4" t="s">
        <v>10</v>
      </c>
      <c r="C230" s="4" t="s">
        <v>27</v>
      </c>
      <c r="D230" s="4" t="s">
        <v>16</v>
      </c>
      <c r="E230" s="4" t="s">
        <v>9</v>
      </c>
      <c r="F230" s="4">
        <v>19</v>
      </c>
      <c r="G230" s="8">
        <v>170565</v>
      </c>
      <c r="H230" s="4">
        <v>23</v>
      </c>
      <c r="I230" s="4">
        <v>78</v>
      </c>
      <c r="J230" s="2" t="str">
        <f t="shared" si="6"/>
        <v>High Cost</v>
      </c>
      <c r="K230" s="2" t="str">
        <f t="shared" si="7"/>
        <v>Teenager</v>
      </c>
    </row>
    <row r="231" spans="1:11" x14ac:dyDescent="0.25">
      <c r="A231" s="4" t="s">
        <v>255</v>
      </c>
      <c r="B231" s="4" t="s">
        <v>15</v>
      </c>
      <c r="C231" s="4" t="s">
        <v>12</v>
      </c>
      <c r="D231" s="4" t="s">
        <v>31</v>
      </c>
      <c r="E231" s="4" t="s">
        <v>9</v>
      </c>
      <c r="F231" s="4">
        <v>47</v>
      </c>
      <c r="G231" s="8">
        <v>19586</v>
      </c>
      <c r="H231" s="4">
        <v>5</v>
      </c>
      <c r="I231" s="4">
        <v>54</v>
      </c>
      <c r="J231" s="2" t="str">
        <f t="shared" si="6"/>
        <v>Low Cost</v>
      </c>
      <c r="K231" s="2" t="str">
        <f t="shared" si="7"/>
        <v>Middle-aged</v>
      </c>
    </row>
    <row r="232" spans="1:11" x14ac:dyDescent="0.25">
      <c r="A232" s="4" t="s">
        <v>256</v>
      </c>
      <c r="B232" s="4" t="s">
        <v>36</v>
      </c>
      <c r="C232" s="4" t="s">
        <v>19</v>
      </c>
      <c r="D232" s="4" t="s">
        <v>24</v>
      </c>
      <c r="E232" s="4" t="s">
        <v>9</v>
      </c>
      <c r="F232" s="4">
        <v>59</v>
      </c>
      <c r="G232" s="8">
        <v>108498</v>
      </c>
      <c r="H232" s="4">
        <v>4</v>
      </c>
      <c r="I232" s="4">
        <v>52</v>
      </c>
      <c r="J232" s="2" t="str">
        <f t="shared" si="6"/>
        <v>High Cost</v>
      </c>
      <c r="K232" s="2" t="str">
        <f t="shared" si="7"/>
        <v>Middle-aged</v>
      </c>
    </row>
    <row r="233" spans="1:11" x14ac:dyDescent="0.25">
      <c r="A233" s="4" t="s">
        <v>257</v>
      </c>
      <c r="B233" s="4" t="s">
        <v>23</v>
      </c>
      <c r="C233" s="4" t="s">
        <v>19</v>
      </c>
      <c r="D233" s="4" t="s">
        <v>16</v>
      </c>
      <c r="E233" s="4" t="s">
        <v>9</v>
      </c>
      <c r="F233" s="4">
        <v>68</v>
      </c>
      <c r="G233" s="8">
        <v>46886</v>
      </c>
      <c r="H233" s="4">
        <v>20</v>
      </c>
      <c r="I233" s="4">
        <v>54</v>
      </c>
      <c r="J233" s="2" t="str">
        <f t="shared" si="6"/>
        <v>Low Cost</v>
      </c>
      <c r="K233" s="2" t="str">
        <f t="shared" si="7"/>
        <v>Senior</v>
      </c>
    </row>
    <row r="234" spans="1:11" x14ac:dyDescent="0.25">
      <c r="A234" s="4" t="s">
        <v>258</v>
      </c>
      <c r="B234" s="4" t="s">
        <v>23</v>
      </c>
      <c r="C234" s="4" t="s">
        <v>27</v>
      </c>
      <c r="D234" s="4" t="s">
        <v>24</v>
      </c>
      <c r="E234" s="4" t="s">
        <v>14</v>
      </c>
      <c r="F234" s="4">
        <v>67</v>
      </c>
      <c r="G234" s="8">
        <v>143991</v>
      </c>
      <c r="H234" s="4">
        <v>3</v>
      </c>
      <c r="I234" s="4">
        <v>58</v>
      </c>
      <c r="J234" s="2" t="str">
        <f t="shared" si="6"/>
        <v>High Cost</v>
      </c>
      <c r="K234" s="2" t="str">
        <f t="shared" si="7"/>
        <v>Senior</v>
      </c>
    </row>
    <row r="235" spans="1:11" x14ac:dyDescent="0.25">
      <c r="A235" s="4" t="s">
        <v>259</v>
      </c>
      <c r="B235" s="4" t="s">
        <v>26</v>
      </c>
      <c r="C235" s="4" t="s">
        <v>12</v>
      </c>
      <c r="D235" s="4" t="s">
        <v>11</v>
      </c>
      <c r="E235" s="4" t="s">
        <v>9</v>
      </c>
      <c r="F235" s="4">
        <v>32</v>
      </c>
      <c r="G235" s="8">
        <v>189712</v>
      </c>
      <c r="H235" s="4">
        <v>20</v>
      </c>
      <c r="I235" s="4">
        <v>80</v>
      </c>
      <c r="J235" s="2" t="str">
        <f t="shared" si="6"/>
        <v>High Cost</v>
      </c>
      <c r="K235" s="2" t="str">
        <f t="shared" si="7"/>
        <v>Adult</v>
      </c>
    </row>
    <row r="236" spans="1:11" x14ac:dyDescent="0.25">
      <c r="A236" s="4" t="s">
        <v>260</v>
      </c>
      <c r="B236" s="4" t="s">
        <v>10</v>
      </c>
      <c r="C236" s="4" t="s">
        <v>27</v>
      </c>
      <c r="D236" s="4" t="s">
        <v>31</v>
      </c>
      <c r="E236" s="4" t="s">
        <v>9</v>
      </c>
      <c r="F236" s="4">
        <v>30</v>
      </c>
      <c r="G236" s="8">
        <v>134411</v>
      </c>
      <c r="H236" s="4">
        <v>5</v>
      </c>
      <c r="I236" s="4">
        <v>72</v>
      </c>
      <c r="J236" s="2" t="str">
        <f t="shared" si="6"/>
        <v>High Cost</v>
      </c>
      <c r="K236" s="2" t="str">
        <f t="shared" si="7"/>
        <v>Adult</v>
      </c>
    </row>
    <row r="237" spans="1:11" x14ac:dyDescent="0.25">
      <c r="A237" s="4" t="s">
        <v>261</v>
      </c>
      <c r="B237" s="4" t="s">
        <v>26</v>
      </c>
      <c r="C237" s="4" t="s">
        <v>27</v>
      </c>
      <c r="D237" s="4" t="s">
        <v>31</v>
      </c>
      <c r="E237" s="4" t="s">
        <v>14</v>
      </c>
      <c r="F237" s="4">
        <v>72</v>
      </c>
      <c r="G237" s="8">
        <v>107074</v>
      </c>
      <c r="H237" s="4">
        <v>29</v>
      </c>
      <c r="I237" s="4">
        <v>84</v>
      </c>
      <c r="J237" s="2" t="str">
        <f t="shared" si="6"/>
        <v>High Cost</v>
      </c>
      <c r="K237" s="2" t="str">
        <f t="shared" si="7"/>
        <v>Senior</v>
      </c>
    </row>
    <row r="238" spans="1:11" x14ac:dyDescent="0.25">
      <c r="A238" s="4" t="s">
        <v>262</v>
      </c>
      <c r="B238" s="4" t="s">
        <v>36</v>
      </c>
      <c r="C238" s="4" t="s">
        <v>19</v>
      </c>
      <c r="D238" s="4" t="s">
        <v>31</v>
      </c>
      <c r="E238" s="4" t="s">
        <v>14</v>
      </c>
      <c r="F238" s="4">
        <v>3</v>
      </c>
      <c r="G238" s="8">
        <v>27322</v>
      </c>
      <c r="H238" s="4">
        <v>11</v>
      </c>
      <c r="I238" s="4">
        <v>91</v>
      </c>
      <c r="J238" s="2" t="str">
        <f t="shared" si="6"/>
        <v>Low Cost</v>
      </c>
      <c r="K238" s="2" t="str">
        <f t="shared" si="7"/>
        <v>Infant / Toddler</v>
      </c>
    </row>
    <row r="239" spans="1:11" x14ac:dyDescent="0.25">
      <c r="A239" s="4" t="s">
        <v>263</v>
      </c>
      <c r="B239" s="4" t="s">
        <v>23</v>
      </c>
      <c r="C239" s="4" t="s">
        <v>32</v>
      </c>
      <c r="D239" s="4" t="s">
        <v>11</v>
      </c>
      <c r="E239" s="4" t="s">
        <v>9</v>
      </c>
      <c r="F239" s="4">
        <v>29</v>
      </c>
      <c r="G239" s="8">
        <v>22303</v>
      </c>
      <c r="H239" s="4">
        <v>3</v>
      </c>
      <c r="I239" s="4">
        <v>51</v>
      </c>
      <c r="J239" s="2" t="str">
        <f t="shared" si="6"/>
        <v>Low Cost</v>
      </c>
      <c r="K239" s="2" t="str">
        <f t="shared" si="7"/>
        <v>Young Adult</v>
      </c>
    </row>
    <row r="240" spans="1:11" x14ac:dyDescent="0.25">
      <c r="A240" s="4" t="s">
        <v>264</v>
      </c>
      <c r="B240" s="4" t="s">
        <v>26</v>
      </c>
      <c r="C240" s="4" t="s">
        <v>32</v>
      </c>
      <c r="D240" s="4" t="s">
        <v>24</v>
      </c>
      <c r="E240" s="4" t="s">
        <v>14</v>
      </c>
      <c r="F240" s="4">
        <v>32</v>
      </c>
      <c r="G240" s="8">
        <v>97225</v>
      </c>
      <c r="H240" s="4">
        <v>4</v>
      </c>
      <c r="I240" s="4">
        <v>90</v>
      </c>
      <c r="J240" s="2" t="str">
        <f t="shared" si="6"/>
        <v>Low Cost</v>
      </c>
      <c r="K240" s="2" t="str">
        <f t="shared" si="7"/>
        <v>Adult</v>
      </c>
    </row>
    <row r="241" spans="1:11" x14ac:dyDescent="0.25">
      <c r="A241" s="4" t="s">
        <v>265</v>
      </c>
      <c r="B241" s="4" t="s">
        <v>36</v>
      </c>
      <c r="C241" s="4" t="s">
        <v>32</v>
      </c>
      <c r="D241" s="4" t="s">
        <v>18</v>
      </c>
      <c r="E241" s="4" t="s">
        <v>14</v>
      </c>
      <c r="F241" s="4">
        <v>70</v>
      </c>
      <c r="G241" s="8">
        <v>126226</v>
      </c>
      <c r="H241" s="4">
        <v>27</v>
      </c>
      <c r="I241" s="4">
        <v>89</v>
      </c>
      <c r="J241" s="2" t="str">
        <f t="shared" si="6"/>
        <v>High Cost</v>
      </c>
      <c r="K241" s="2" t="str">
        <f t="shared" si="7"/>
        <v>Senior</v>
      </c>
    </row>
    <row r="242" spans="1:11" x14ac:dyDescent="0.25">
      <c r="A242" s="4" t="s">
        <v>266</v>
      </c>
      <c r="B242" s="4" t="s">
        <v>21</v>
      </c>
      <c r="C242" s="4" t="s">
        <v>19</v>
      </c>
      <c r="D242" s="4" t="s">
        <v>31</v>
      </c>
      <c r="E242" s="4" t="s">
        <v>9</v>
      </c>
      <c r="F242" s="4">
        <v>11</v>
      </c>
      <c r="G242" s="8">
        <v>106669</v>
      </c>
      <c r="H242" s="4">
        <v>19</v>
      </c>
      <c r="I242" s="4">
        <v>68</v>
      </c>
      <c r="J242" s="2" t="str">
        <f t="shared" si="6"/>
        <v>High Cost</v>
      </c>
      <c r="K242" s="2" t="str">
        <f t="shared" si="7"/>
        <v>Child</v>
      </c>
    </row>
    <row r="243" spans="1:11" x14ac:dyDescent="0.25">
      <c r="A243" s="4" t="s">
        <v>267</v>
      </c>
      <c r="B243" s="4" t="s">
        <v>10</v>
      </c>
      <c r="C243" s="4" t="s">
        <v>32</v>
      </c>
      <c r="D243" s="4" t="s">
        <v>11</v>
      </c>
      <c r="E243" s="4" t="s">
        <v>9</v>
      </c>
      <c r="F243" s="4">
        <v>46</v>
      </c>
      <c r="G243" s="8">
        <v>168712</v>
      </c>
      <c r="H243" s="4">
        <v>3</v>
      </c>
      <c r="I243" s="4">
        <v>60</v>
      </c>
      <c r="J243" s="2" t="str">
        <f t="shared" si="6"/>
        <v>High Cost</v>
      </c>
      <c r="K243" s="2" t="str">
        <f t="shared" si="7"/>
        <v>Middle-aged</v>
      </c>
    </row>
    <row r="244" spans="1:11" x14ac:dyDescent="0.25">
      <c r="A244" s="4" t="s">
        <v>268</v>
      </c>
      <c r="B244" s="4" t="s">
        <v>23</v>
      </c>
      <c r="C244" s="4" t="s">
        <v>12</v>
      </c>
      <c r="D244" s="4" t="s">
        <v>31</v>
      </c>
      <c r="E244" s="4" t="s">
        <v>14</v>
      </c>
      <c r="F244" s="4">
        <v>13</v>
      </c>
      <c r="G244" s="8">
        <v>66113</v>
      </c>
      <c r="H244" s="4">
        <v>6</v>
      </c>
      <c r="I244" s="4">
        <v>94</v>
      </c>
      <c r="J244" s="2" t="str">
        <f t="shared" si="6"/>
        <v>Low Cost</v>
      </c>
      <c r="K244" s="2" t="str">
        <f t="shared" si="7"/>
        <v>Teenager</v>
      </c>
    </row>
    <row r="245" spans="1:11" x14ac:dyDescent="0.25">
      <c r="A245" s="4" t="s">
        <v>269</v>
      </c>
      <c r="B245" s="4" t="s">
        <v>23</v>
      </c>
      <c r="C245" s="4" t="s">
        <v>12</v>
      </c>
      <c r="D245" s="4" t="s">
        <v>24</v>
      </c>
      <c r="E245" s="4" t="s">
        <v>14</v>
      </c>
      <c r="F245" s="4">
        <v>74</v>
      </c>
      <c r="G245" s="8">
        <v>86248</v>
      </c>
      <c r="H245" s="4">
        <v>19</v>
      </c>
      <c r="I245" s="4">
        <v>77</v>
      </c>
      <c r="J245" s="2" t="str">
        <f t="shared" si="6"/>
        <v>Low Cost</v>
      </c>
      <c r="K245" s="2" t="str">
        <f t="shared" si="7"/>
        <v>Senior</v>
      </c>
    </row>
    <row r="246" spans="1:11" x14ac:dyDescent="0.25">
      <c r="A246" s="4" t="s">
        <v>270</v>
      </c>
      <c r="B246" s="4" t="s">
        <v>21</v>
      </c>
      <c r="C246" s="4" t="s">
        <v>12</v>
      </c>
      <c r="D246" s="4" t="s">
        <v>18</v>
      </c>
      <c r="E246" s="4" t="s">
        <v>9</v>
      </c>
      <c r="F246" s="4">
        <v>27</v>
      </c>
      <c r="G246" s="8">
        <v>97507</v>
      </c>
      <c r="H246" s="4">
        <v>3</v>
      </c>
      <c r="I246" s="4">
        <v>59</v>
      </c>
      <c r="J246" s="2" t="str">
        <f t="shared" si="6"/>
        <v>Low Cost</v>
      </c>
      <c r="K246" s="2" t="str">
        <f t="shared" si="7"/>
        <v>Young Adult</v>
      </c>
    </row>
    <row r="247" spans="1:11" x14ac:dyDescent="0.25">
      <c r="A247" s="4" t="s">
        <v>271</v>
      </c>
      <c r="B247" s="4" t="s">
        <v>26</v>
      </c>
      <c r="C247" s="4" t="s">
        <v>27</v>
      </c>
      <c r="D247" s="4" t="s">
        <v>31</v>
      </c>
      <c r="E247" s="4" t="s">
        <v>9</v>
      </c>
      <c r="F247" s="4">
        <v>71</v>
      </c>
      <c r="G247" s="8">
        <v>197116</v>
      </c>
      <c r="H247" s="4">
        <v>7</v>
      </c>
      <c r="I247" s="4">
        <v>89</v>
      </c>
      <c r="J247" s="2" t="str">
        <f t="shared" si="6"/>
        <v>High Cost</v>
      </c>
      <c r="K247" s="2" t="str">
        <f t="shared" si="7"/>
        <v>Senior</v>
      </c>
    </row>
    <row r="248" spans="1:11" x14ac:dyDescent="0.25">
      <c r="A248" s="4" t="s">
        <v>272</v>
      </c>
      <c r="B248" s="4" t="s">
        <v>23</v>
      </c>
      <c r="C248" s="4" t="s">
        <v>12</v>
      </c>
      <c r="D248" s="4" t="s">
        <v>18</v>
      </c>
      <c r="E248" s="4" t="s">
        <v>14</v>
      </c>
      <c r="F248" s="4">
        <v>75</v>
      </c>
      <c r="G248" s="8">
        <v>131614</v>
      </c>
      <c r="H248" s="4">
        <v>22</v>
      </c>
      <c r="I248" s="4">
        <v>87</v>
      </c>
      <c r="J248" s="2" t="str">
        <f t="shared" si="6"/>
        <v>High Cost</v>
      </c>
      <c r="K248" s="2" t="str">
        <f t="shared" si="7"/>
        <v>Elderly</v>
      </c>
    </row>
    <row r="249" spans="1:11" x14ac:dyDescent="0.25">
      <c r="A249" s="4" t="s">
        <v>273</v>
      </c>
      <c r="B249" s="4" t="s">
        <v>26</v>
      </c>
      <c r="C249" s="4" t="s">
        <v>19</v>
      </c>
      <c r="D249" s="4" t="s">
        <v>31</v>
      </c>
      <c r="E249" s="4" t="s">
        <v>9</v>
      </c>
      <c r="F249" s="4">
        <v>47</v>
      </c>
      <c r="G249" s="8">
        <v>91199</v>
      </c>
      <c r="H249" s="4">
        <v>18</v>
      </c>
      <c r="I249" s="4">
        <v>86</v>
      </c>
      <c r="J249" s="2" t="str">
        <f t="shared" si="6"/>
        <v>Low Cost</v>
      </c>
      <c r="K249" s="2" t="str">
        <f t="shared" si="7"/>
        <v>Middle-aged</v>
      </c>
    </row>
    <row r="250" spans="1:11" x14ac:dyDescent="0.25">
      <c r="A250" s="4" t="s">
        <v>274</v>
      </c>
      <c r="B250" s="4" t="s">
        <v>23</v>
      </c>
      <c r="C250" s="4" t="s">
        <v>19</v>
      </c>
      <c r="D250" s="4" t="s">
        <v>11</v>
      </c>
      <c r="E250" s="4" t="s">
        <v>9</v>
      </c>
      <c r="F250" s="4">
        <v>21</v>
      </c>
      <c r="G250" s="8">
        <v>94174</v>
      </c>
      <c r="H250" s="4">
        <v>26</v>
      </c>
      <c r="I250" s="4">
        <v>53</v>
      </c>
      <c r="J250" s="2" t="str">
        <f t="shared" si="6"/>
        <v>Low Cost</v>
      </c>
      <c r="K250" s="2" t="str">
        <f t="shared" si="7"/>
        <v>Young Adult</v>
      </c>
    </row>
    <row r="251" spans="1:11" x14ac:dyDescent="0.25">
      <c r="A251" s="4" t="s">
        <v>275</v>
      </c>
      <c r="B251" s="4" t="s">
        <v>21</v>
      </c>
      <c r="C251" s="4" t="s">
        <v>12</v>
      </c>
      <c r="D251" s="4" t="s">
        <v>31</v>
      </c>
      <c r="E251" s="4" t="s">
        <v>9</v>
      </c>
      <c r="F251" s="4">
        <v>61</v>
      </c>
      <c r="G251" s="8">
        <v>122112</v>
      </c>
      <c r="H251" s="4">
        <v>16</v>
      </c>
      <c r="I251" s="4">
        <v>81</v>
      </c>
      <c r="J251" s="2" t="str">
        <f t="shared" si="6"/>
        <v>High Cost</v>
      </c>
      <c r="K251" s="2" t="str">
        <f t="shared" si="7"/>
        <v>Senior</v>
      </c>
    </row>
    <row r="252" spans="1:11" x14ac:dyDescent="0.25">
      <c r="A252" s="4" t="s">
        <v>276</v>
      </c>
      <c r="B252" s="4" t="s">
        <v>21</v>
      </c>
      <c r="C252" s="4" t="s">
        <v>12</v>
      </c>
      <c r="D252" s="4" t="s">
        <v>18</v>
      </c>
      <c r="E252" s="4" t="s">
        <v>9</v>
      </c>
      <c r="F252" s="4">
        <v>52</v>
      </c>
      <c r="G252" s="8">
        <v>89154</v>
      </c>
      <c r="H252" s="4">
        <v>14</v>
      </c>
      <c r="I252" s="4">
        <v>77</v>
      </c>
      <c r="J252" s="2" t="str">
        <f t="shared" si="6"/>
        <v>Low Cost</v>
      </c>
      <c r="K252" s="2" t="str">
        <f t="shared" si="7"/>
        <v>Middle-aged</v>
      </c>
    </row>
    <row r="253" spans="1:11" x14ac:dyDescent="0.25">
      <c r="A253" s="4" t="s">
        <v>277</v>
      </c>
      <c r="B253" s="4" t="s">
        <v>21</v>
      </c>
      <c r="C253" s="4" t="s">
        <v>27</v>
      </c>
      <c r="D253" s="4" t="s">
        <v>11</v>
      </c>
      <c r="E253" s="4" t="s">
        <v>14</v>
      </c>
      <c r="F253" s="4">
        <v>39</v>
      </c>
      <c r="G253" s="8">
        <v>87295</v>
      </c>
      <c r="H253" s="4">
        <v>12</v>
      </c>
      <c r="I253" s="4">
        <v>64</v>
      </c>
      <c r="J253" s="2" t="str">
        <f t="shared" si="6"/>
        <v>Low Cost</v>
      </c>
      <c r="K253" s="2" t="str">
        <f t="shared" si="7"/>
        <v>Adult</v>
      </c>
    </row>
    <row r="254" spans="1:11" x14ac:dyDescent="0.25">
      <c r="A254" s="4" t="s">
        <v>278</v>
      </c>
      <c r="B254" s="4" t="s">
        <v>36</v>
      </c>
      <c r="C254" s="4" t="s">
        <v>19</v>
      </c>
      <c r="D254" s="4" t="s">
        <v>11</v>
      </c>
      <c r="E254" s="4" t="s">
        <v>9</v>
      </c>
      <c r="F254" s="4">
        <v>79</v>
      </c>
      <c r="G254" s="8">
        <v>123633</v>
      </c>
      <c r="H254" s="4">
        <v>20</v>
      </c>
      <c r="I254" s="4">
        <v>73</v>
      </c>
      <c r="J254" s="2" t="str">
        <f t="shared" si="6"/>
        <v>High Cost</v>
      </c>
      <c r="K254" s="2" t="str">
        <f t="shared" si="7"/>
        <v>Elderly</v>
      </c>
    </row>
    <row r="255" spans="1:11" x14ac:dyDescent="0.25">
      <c r="A255" s="4" t="s">
        <v>279</v>
      </c>
      <c r="B255" s="4" t="s">
        <v>21</v>
      </c>
      <c r="C255" s="4" t="s">
        <v>19</v>
      </c>
      <c r="D255" s="4" t="s">
        <v>18</v>
      </c>
      <c r="E255" s="4" t="s">
        <v>14</v>
      </c>
      <c r="F255" s="4">
        <v>45</v>
      </c>
      <c r="G255" s="8">
        <v>196720</v>
      </c>
      <c r="H255" s="4">
        <v>22</v>
      </c>
      <c r="I255" s="4">
        <v>68</v>
      </c>
      <c r="J255" s="2" t="str">
        <f t="shared" si="6"/>
        <v>High Cost</v>
      </c>
      <c r="K255" s="2" t="str">
        <f t="shared" si="7"/>
        <v>Middle-aged</v>
      </c>
    </row>
    <row r="256" spans="1:11" x14ac:dyDescent="0.25">
      <c r="A256" s="4" t="s">
        <v>280</v>
      </c>
      <c r="B256" s="4" t="s">
        <v>21</v>
      </c>
      <c r="C256" s="4" t="s">
        <v>32</v>
      </c>
      <c r="D256" s="4" t="s">
        <v>31</v>
      </c>
      <c r="E256" s="4" t="s">
        <v>14</v>
      </c>
      <c r="F256" s="4">
        <v>9</v>
      </c>
      <c r="G256" s="8">
        <v>164337</v>
      </c>
      <c r="H256" s="4">
        <v>4</v>
      </c>
      <c r="I256" s="4">
        <v>90</v>
      </c>
      <c r="J256" s="2" t="str">
        <f t="shared" si="6"/>
        <v>High Cost</v>
      </c>
      <c r="K256" s="2" t="str">
        <f t="shared" si="7"/>
        <v>Child</v>
      </c>
    </row>
    <row r="257" spans="1:11" x14ac:dyDescent="0.25">
      <c r="A257" s="4" t="s">
        <v>281</v>
      </c>
      <c r="B257" s="4" t="s">
        <v>10</v>
      </c>
      <c r="C257" s="4" t="s">
        <v>19</v>
      </c>
      <c r="D257" s="4" t="s">
        <v>18</v>
      </c>
      <c r="E257" s="4" t="s">
        <v>9</v>
      </c>
      <c r="F257" s="4">
        <v>37</v>
      </c>
      <c r="G257" s="8">
        <v>44710</v>
      </c>
      <c r="H257" s="4">
        <v>18</v>
      </c>
      <c r="I257" s="4">
        <v>56</v>
      </c>
      <c r="J257" s="2" t="str">
        <f t="shared" si="6"/>
        <v>Low Cost</v>
      </c>
      <c r="K257" s="2" t="str">
        <f t="shared" si="7"/>
        <v>Adult</v>
      </c>
    </row>
    <row r="258" spans="1:11" x14ac:dyDescent="0.25">
      <c r="A258" s="4" t="s">
        <v>282</v>
      </c>
      <c r="B258" s="4" t="s">
        <v>26</v>
      </c>
      <c r="C258" s="4" t="s">
        <v>27</v>
      </c>
      <c r="D258" s="4" t="s">
        <v>18</v>
      </c>
      <c r="E258" s="4" t="s">
        <v>9</v>
      </c>
      <c r="F258" s="4">
        <v>4</v>
      </c>
      <c r="G258" s="8">
        <v>147847</v>
      </c>
      <c r="H258" s="4">
        <v>28</v>
      </c>
      <c r="I258" s="4">
        <v>64</v>
      </c>
      <c r="J258" s="2" t="str">
        <f t="shared" si="6"/>
        <v>High Cost</v>
      </c>
      <c r="K258" s="2" t="str">
        <f t="shared" si="7"/>
        <v>Infant / Toddler</v>
      </c>
    </row>
    <row r="259" spans="1:11" x14ac:dyDescent="0.25">
      <c r="A259" s="4" t="s">
        <v>283</v>
      </c>
      <c r="B259" s="4" t="s">
        <v>15</v>
      </c>
      <c r="C259" s="4" t="s">
        <v>19</v>
      </c>
      <c r="D259" s="4" t="s">
        <v>18</v>
      </c>
      <c r="E259" s="4" t="s">
        <v>14</v>
      </c>
      <c r="F259" s="4">
        <v>45</v>
      </c>
      <c r="G259" s="8">
        <v>130243</v>
      </c>
      <c r="H259" s="4">
        <v>9</v>
      </c>
      <c r="I259" s="4">
        <v>86</v>
      </c>
      <c r="J259" s="2" t="str">
        <f t="shared" ref="J259:J322" si="8">IF(G259&gt;100000, "High Cost", "Low Cost")</f>
        <v>High Cost</v>
      </c>
      <c r="K259" s="2" t="str">
        <f t="shared" ref="K259:K322" si="9">IF(F259&lt;=5,"Infant / Toddler",IF(F259&lt;=12,"Child",IF(F259&lt;=19,"Teenager",IF(F259&lt;=29,"Young Adult",IF(F259&lt;=44,"Adult",IF(F259&lt;=59,"Middle-aged",IF(F259&lt;=74,"Senior","Elderly")))))))</f>
        <v>Middle-aged</v>
      </c>
    </row>
    <row r="260" spans="1:11" x14ac:dyDescent="0.25">
      <c r="A260" s="4" t="s">
        <v>284</v>
      </c>
      <c r="B260" s="4" t="s">
        <v>23</v>
      </c>
      <c r="C260" s="4" t="s">
        <v>32</v>
      </c>
      <c r="D260" s="4" t="s">
        <v>24</v>
      </c>
      <c r="E260" s="4" t="s">
        <v>9</v>
      </c>
      <c r="F260" s="4">
        <v>21</v>
      </c>
      <c r="G260" s="8">
        <v>131318</v>
      </c>
      <c r="H260" s="4">
        <v>12</v>
      </c>
      <c r="I260" s="4">
        <v>89</v>
      </c>
      <c r="J260" s="2" t="str">
        <f t="shared" si="8"/>
        <v>High Cost</v>
      </c>
      <c r="K260" s="2" t="str">
        <f t="shared" si="9"/>
        <v>Young Adult</v>
      </c>
    </row>
    <row r="261" spans="1:11" x14ac:dyDescent="0.25">
      <c r="A261" s="4" t="s">
        <v>285</v>
      </c>
      <c r="B261" s="4" t="s">
        <v>26</v>
      </c>
      <c r="C261" s="4" t="s">
        <v>12</v>
      </c>
      <c r="D261" s="4" t="s">
        <v>31</v>
      </c>
      <c r="E261" s="4" t="s">
        <v>9</v>
      </c>
      <c r="F261" s="4">
        <v>6</v>
      </c>
      <c r="G261" s="8">
        <v>89925</v>
      </c>
      <c r="H261" s="4">
        <v>17</v>
      </c>
      <c r="I261" s="4">
        <v>62</v>
      </c>
      <c r="J261" s="2" t="str">
        <f t="shared" si="8"/>
        <v>Low Cost</v>
      </c>
      <c r="K261" s="2" t="str">
        <f t="shared" si="9"/>
        <v>Child</v>
      </c>
    </row>
    <row r="262" spans="1:11" x14ac:dyDescent="0.25">
      <c r="A262" s="4" t="s">
        <v>286</v>
      </c>
      <c r="B262" s="4" t="s">
        <v>15</v>
      </c>
      <c r="C262" s="4" t="s">
        <v>27</v>
      </c>
      <c r="D262" s="4" t="s">
        <v>18</v>
      </c>
      <c r="E262" s="4" t="s">
        <v>9</v>
      </c>
      <c r="F262" s="4">
        <v>64</v>
      </c>
      <c r="G262" s="8">
        <v>43323</v>
      </c>
      <c r="H262" s="4">
        <v>12</v>
      </c>
      <c r="I262" s="4">
        <v>66</v>
      </c>
      <c r="J262" s="2" t="str">
        <f t="shared" si="8"/>
        <v>Low Cost</v>
      </c>
      <c r="K262" s="2" t="str">
        <f t="shared" si="9"/>
        <v>Senior</v>
      </c>
    </row>
    <row r="263" spans="1:11" x14ac:dyDescent="0.25">
      <c r="A263" s="4" t="s">
        <v>287</v>
      </c>
      <c r="B263" s="4" t="s">
        <v>10</v>
      </c>
      <c r="C263" s="4" t="s">
        <v>12</v>
      </c>
      <c r="D263" s="4" t="s">
        <v>11</v>
      </c>
      <c r="E263" s="4" t="s">
        <v>14</v>
      </c>
      <c r="F263" s="4">
        <v>26</v>
      </c>
      <c r="G263" s="8">
        <v>152107</v>
      </c>
      <c r="H263" s="4">
        <v>12</v>
      </c>
      <c r="I263" s="4">
        <v>75</v>
      </c>
      <c r="J263" s="2" t="str">
        <f t="shared" si="8"/>
        <v>High Cost</v>
      </c>
      <c r="K263" s="2" t="str">
        <f t="shared" si="9"/>
        <v>Young Adult</v>
      </c>
    </row>
    <row r="264" spans="1:11" x14ac:dyDescent="0.25">
      <c r="A264" s="4" t="s">
        <v>288</v>
      </c>
      <c r="B264" s="4" t="s">
        <v>15</v>
      </c>
      <c r="C264" s="4" t="s">
        <v>19</v>
      </c>
      <c r="D264" s="4" t="s">
        <v>11</v>
      </c>
      <c r="E264" s="4" t="s">
        <v>14</v>
      </c>
      <c r="F264" s="4">
        <v>71</v>
      </c>
      <c r="G264" s="8">
        <v>24196</v>
      </c>
      <c r="H264" s="4">
        <v>27</v>
      </c>
      <c r="I264" s="4">
        <v>75</v>
      </c>
      <c r="J264" s="2" t="str">
        <f t="shared" si="8"/>
        <v>Low Cost</v>
      </c>
      <c r="K264" s="2" t="str">
        <f t="shared" si="9"/>
        <v>Senior</v>
      </c>
    </row>
    <row r="265" spans="1:11" x14ac:dyDescent="0.25">
      <c r="A265" s="4" t="s">
        <v>289</v>
      </c>
      <c r="B265" s="4" t="s">
        <v>15</v>
      </c>
      <c r="C265" s="4" t="s">
        <v>27</v>
      </c>
      <c r="D265" s="4" t="s">
        <v>11</v>
      </c>
      <c r="E265" s="4" t="s">
        <v>9</v>
      </c>
      <c r="F265" s="4">
        <v>82</v>
      </c>
      <c r="G265" s="8">
        <v>79037</v>
      </c>
      <c r="H265" s="4">
        <v>5</v>
      </c>
      <c r="I265" s="4">
        <v>79</v>
      </c>
      <c r="J265" s="2" t="str">
        <f t="shared" si="8"/>
        <v>Low Cost</v>
      </c>
      <c r="K265" s="2" t="str">
        <f t="shared" si="9"/>
        <v>Elderly</v>
      </c>
    </row>
    <row r="266" spans="1:11" x14ac:dyDescent="0.25">
      <c r="A266" s="4" t="s">
        <v>290</v>
      </c>
      <c r="B266" s="4" t="s">
        <v>36</v>
      </c>
      <c r="C266" s="4" t="s">
        <v>27</v>
      </c>
      <c r="D266" s="4" t="s">
        <v>16</v>
      </c>
      <c r="E266" s="4" t="s">
        <v>14</v>
      </c>
      <c r="F266" s="4">
        <v>3</v>
      </c>
      <c r="G266" s="8">
        <v>22907</v>
      </c>
      <c r="H266" s="4">
        <v>15</v>
      </c>
      <c r="I266" s="4">
        <v>68</v>
      </c>
      <c r="J266" s="2" t="str">
        <f t="shared" si="8"/>
        <v>Low Cost</v>
      </c>
      <c r="K266" s="2" t="str">
        <f t="shared" si="9"/>
        <v>Infant / Toddler</v>
      </c>
    </row>
    <row r="267" spans="1:11" x14ac:dyDescent="0.25">
      <c r="A267" s="4" t="s">
        <v>291</v>
      </c>
      <c r="B267" s="4" t="s">
        <v>23</v>
      </c>
      <c r="C267" s="4" t="s">
        <v>19</v>
      </c>
      <c r="D267" s="4" t="s">
        <v>16</v>
      </c>
      <c r="E267" s="4" t="s">
        <v>9</v>
      </c>
      <c r="F267" s="4">
        <v>41</v>
      </c>
      <c r="G267" s="8">
        <v>26804</v>
      </c>
      <c r="H267" s="4">
        <v>9</v>
      </c>
      <c r="I267" s="4">
        <v>89</v>
      </c>
      <c r="J267" s="2" t="str">
        <f t="shared" si="8"/>
        <v>Low Cost</v>
      </c>
      <c r="K267" s="2" t="str">
        <f t="shared" si="9"/>
        <v>Adult</v>
      </c>
    </row>
    <row r="268" spans="1:11" x14ac:dyDescent="0.25">
      <c r="A268" s="4" t="s">
        <v>292</v>
      </c>
      <c r="B268" s="4" t="s">
        <v>26</v>
      </c>
      <c r="C268" s="4" t="s">
        <v>27</v>
      </c>
      <c r="D268" s="4" t="s">
        <v>18</v>
      </c>
      <c r="E268" s="4" t="s">
        <v>9</v>
      </c>
      <c r="F268" s="4">
        <v>71</v>
      </c>
      <c r="G268" s="8">
        <v>102097</v>
      </c>
      <c r="H268" s="4">
        <v>24</v>
      </c>
      <c r="I268" s="4">
        <v>75</v>
      </c>
      <c r="J268" s="2" t="str">
        <f t="shared" si="8"/>
        <v>High Cost</v>
      </c>
      <c r="K268" s="2" t="str">
        <f t="shared" si="9"/>
        <v>Senior</v>
      </c>
    </row>
    <row r="269" spans="1:11" x14ac:dyDescent="0.25">
      <c r="A269" s="4" t="s">
        <v>293</v>
      </c>
      <c r="B269" s="4" t="s">
        <v>10</v>
      </c>
      <c r="C269" s="4" t="s">
        <v>19</v>
      </c>
      <c r="D269" s="4" t="s">
        <v>31</v>
      </c>
      <c r="E269" s="4" t="s">
        <v>9</v>
      </c>
      <c r="F269" s="4">
        <v>68</v>
      </c>
      <c r="G269" s="8">
        <v>197905</v>
      </c>
      <c r="H269" s="4">
        <v>6</v>
      </c>
      <c r="I269" s="4">
        <v>86</v>
      </c>
      <c r="J269" s="2" t="str">
        <f t="shared" si="8"/>
        <v>High Cost</v>
      </c>
      <c r="K269" s="2" t="str">
        <f t="shared" si="9"/>
        <v>Senior</v>
      </c>
    </row>
    <row r="270" spans="1:11" x14ac:dyDescent="0.25">
      <c r="A270" s="4" t="s">
        <v>294</v>
      </c>
      <c r="B270" s="4" t="s">
        <v>23</v>
      </c>
      <c r="C270" s="4" t="s">
        <v>12</v>
      </c>
      <c r="D270" s="4" t="s">
        <v>16</v>
      </c>
      <c r="E270" s="4" t="s">
        <v>9</v>
      </c>
      <c r="F270" s="4">
        <v>72</v>
      </c>
      <c r="G270" s="8">
        <v>73172</v>
      </c>
      <c r="H270" s="4">
        <v>28</v>
      </c>
      <c r="I270" s="4">
        <v>75</v>
      </c>
      <c r="J270" s="2" t="str">
        <f t="shared" si="8"/>
        <v>Low Cost</v>
      </c>
      <c r="K270" s="2" t="str">
        <f t="shared" si="9"/>
        <v>Senior</v>
      </c>
    </row>
    <row r="271" spans="1:11" x14ac:dyDescent="0.25">
      <c r="A271" s="4" t="s">
        <v>295</v>
      </c>
      <c r="B271" s="4" t="s">
        <v>23</v>
      </c>
      <c r="C271" s="4" t="s">
        <v>32</v>
      </c>
      <c r="D271" s="4" t="s">
        <v>16</v>
      </c>
      <c r="E271" s="4" t="s">
        <v>14</v>
      </c>
      <c r="F271" s="4">
        <v>56</v>
      </c>
      <c r="G271" s="8">
        <v>102203</v>
      </c>
      <c r="H271" s="4">
        <v>12</v>
      </c>
      <c r="I271" s="4">
        <v>53</v>
      </c>
      <c r="J271" s="2" t="str">
        <f t="shared" si="8"/>
        <v>High Cost</v>
      </c>
      <c r="K271" s="2" t="str">
        <f t="shared" si="9"/>
        <v>Middle-aged</v>
      </c>
    </row>
    <row r="272" spans="1:11" x14ac:dyDescent="0.25">
      <c r="A272" s="4" t="s">
        <v>296</v>
      </c>
      <c r="B272" s="4" t="s">
        <v>26</v>
      </c>
      <c r="C272" s="4" t="s">
        <v>12</v>
      </c>
      <c r="D272" s="4" t="s">
        <v>16</v>
      </c>
      <c r="E272" s="4" t="s">
        <v>14</v>
      </c>
      <c r="F272" s="4">
        <v>64</v>
      </c>
      <c r="G272" s="8">
        <v>171129</v>
      </c>
      <c r="H272" s="4">
        <v>6</v>
      </c>
      <c r="I272" s="4">
        <v>67</v>
      </c>
      <c r="J272" s="2" t="str">
        <f t="shared" si="8"/>
        <v>High Cost</v>
      </c>
      <c r="K272" s="2" t="str">
        <f t="shared" si="9"/>
        <v>Senior</v>
      </c>
    </row>
    <row r="273" spans="1:11" x14ac:dyDescent="0.25">
      <c r="A273" s="4" t="s">
        <v>297</v>
      </c>
      <c r="B273" s="4" t="s">
        <v>23</v>
      </c>
      <c r="C273" s="4" t="s">
        <v>27</v>
      </c>
      <c r="D273" s="4" t="s">
        <v>11</v>
      </c>
      <c r="E273" s="4" t="s">
        <v>9</v>
      </c>
      <c r="F273" s="4">
        <v>48</v>
      </c>
      <c r="G273" s="8">
        <v>79889</v>
      </c>
      <c r="H273" s="4">
        <v>22</v>
      </c>
      <c r="I273" s="4">
        <v>73</v>
      </c>
      <c r="J273" s="2" t="str">
        <f t="shared" si="8"/>
        <v>Low Cost</v>
      </c>
      <c r="K273" s="2" t="str">
        <f t="shared" si="9"/>
        <v>Middle-aged</v>
      </c>
    </row>
    <row r="274" spans="1:11" x14ac:dyDescent="0.25">
      <c r="A274" s="4" t="s">
        <v>298</v>
      </c>
      <c r="B274" s="4" t="s">
        <v>21</v>
      </c>
      <c r="C274" s="4" t="s">
        <v>32</v>
      </c>
      <c r="D274" s="4" t="s">
        <v>18</v>
      </c>
      <c r="E274" s="4" t="s">
        <v>14</v>
      </c>
      <c r="F274" s="4">
        <v>64</v>
      </c>
      <c r="G274" s="8">
        <v>49311</v>
      </c>
      <c r="H274" s="4">
        <v>30</v>
      </c>
      <c r="I274" s="4">
        <v>86</v>
      </c>
      <c r="J274" s="2" t="str">
        <f t="shared" si="8"/>
        <v>Low Cost</v>
      </c>
      <c r="K274" s="2" t="str">
        <f t="shared" si="9"/>
        <v>Senior</v>
      </c>
    </row>
    <row r="275" spans="1:11" x14ac:dyDescent="0.25">
      <c r="A275" s="4" t="s">
        <v>299</v>
      </c>
      <c r="B275" s="4" t="s">
        <v>26</v>
      </c>
      <c r="C275" s="4" t="s">
        <v>19</v>
      </c>
      <c r="D275" s="4" t="s">
        <v>24</v>
      </c>
      <c r="E275" s="4" t="s">
        <v>41</v>
      </c>
      <c r="F275" s="4">
        <v>78</v>
      </c>
      <c r="G275" s="8">
        <v>52130</v>
      </c>
      <c r="H275" s="4">
        <v>17</v>
      </c>
      <c r="I275" s="4">
        <v>53</v>
      </c>
      <c r="J275" s="2" t="str">
        <f t="shared" si="8"/>
        <v>Low Cost</v>
      </c>
      <c r="K275" s="2" t="str">
        <f t="shared" si="9"/>
        <v>Elderly</v>
      </c>
    </row>
    <row r="276" spans="1:11" x14ac:dyDescent="0.25">
      <c r="A276" s="4" t="s">
        <v>300</v>
      </c>
      <c r="B276" s="4" t="s">
        <v>26</v>
      </c>
      <c r="C276" s="4" t="s">
        <v>27</v>
      </c>
      <c r="D276" s="4" t="s">
        <v>24</v>
      </c>
      <c r="E276" s="4" t="s">
        <v>9</v>
      </c>
      <c r="F276" s="4">
        <v>58</v>
      </c>
      <c r="G276" s="8">
        <v>189802</v>
      </c>
      <c r="H276" s="4">
        <v>11</v>
      </c>
      <c r="I276" s="4">
        <v>86</v>
      </c>
      <c r="J276" s="2" t="str">
        <f t="shared" si="8"/>
        <v>High Cost</v>
      </c>
      <c r="K276" s="2" t="str">
        <f t="shared" si="9"/>
        <v>Middle-aged</v>
      </c>
    </row>
    <row r="277" spans="1:11" x14ac:dyDescent="0.25">
      <c r="A277" s="4" t="s">
        <v>301</v>
      </c>
      <c r="B277" s="4" t="s">
        <v>36</v>
      </c>
      <c r="C277" s="4" t="s">
        <v>27</v>
      </c>
      <c r="D277" s="4" t="s">
        <v>24</v>
      </c>
      <c r="E277" s="4" t="s">
        <v>14</v>
      </c>
      <c r="F277" s="4">
        <v>33</v>
      </c>
      <c r="G277" s="8">
        <v>48208</v>
      </c>
      <c r="H277" s="4">
        <v>22</v>
      </c>
      <c r="I277" s="4">
        <v>85</v>
      </c>
      <c r="J277" s="2" t="str">
        <f t="shared" si="8"/>
        <v>Low Cost</v>
      </c>
      <c r="K277" s="2" t="str">
        <f t="shared" si="9"/>
        <v>Adult</v>
      </c>
    </row>
    <row r="278" spans="1:11" x14ac:dyDescent="0.25">
      <c r="A278" s="4" t="s">
        <v>302</v>
      </c>
      <c r="B278" s="4" t="s">
        <v>15</v>
      </c>
      <c r="C278" s="4" t="s">
        <v>32</v>
      </c>
      <c r="D278" s="4" t="s">
        <v>31</v>
      </c>
      <c r="E278" s="4" t="s">
        <v>9</v>
      </c>
      <c r="F278" s="4">
        <v>79</v>
      </c>
      <c r="G278" s="8">
        <v>61949</v>
      </c>
      <c r="H278" s="4">
        <v>24</v>
      </c>
      <c r="I278" s="4">
        <v>64</v>
      </c>
      <c r="J278" s="2" t="str">
        <f t="shared" si="8"/>
        <v>Low Cost</v>
      </c>
      <c r="K278" s="2" t="str">
        <f t="shared" si="9"/>
        <v>Elderly</v>
      </c>
    </row>
    <row r="279" spans="1:11" x14ac:dyDescent="0.25">
      <c r="A279" s="4" t="s">
        <v>303</v>
      </c>
      <c r="B279" s="4" t="s">
        <v>23</v>
      </c>
      <c r="C279" s="4" t="s">
        <v>19</v>
      </c>
      <c r="D279" s="4" t="s">
        <v>11</v>
      </c>
      <c r="E279" s="4" t="s">
        <v>14</v>
      </c>
      <c r="F279" s="4">
        <v>45</v>
      </c>
      <c r="G279" s="8">
        <v>144042</v>
      </c>
      <c r="H279" s="4">
        <v>10</v>
      </c>
      <c r="I279" s="4">
        <v>55</v>
      </c>
      <c r="J279" s="2" t="str">
        <f t="shared" si="8"/>
        <v>High Cost</v>
      </c>
      <c r="K279" s="2" t="str">
        <f t="shared" si="9"/>
        <v>Middle-aged</v>
      </c>
    </row>
    <row r="280" spans="1:11" x14ac:dyDescent="0.25">
      <c r="A280" s="4" t="s">
        <v>304</v>
      </c>
      <c r="B280" s="4" t="s">
        <v>23</v>
      </c>
      <c r="C280" s="4" t="s">
        <v>32</v>
      </c>
      <c r="D280" s="4" t="s">
        <v>31</v>
      </c>
      <c r="E280" s="4" t="s">
        <v>9</v>
      </c>
      <c r="F280" s="4">
        <v>71</v>
      </c>
      <c r="G280" s="8">
        <v>147012</v>
      </c>
      <c r="H280" s="4">
        <v>25</v>
      </c>
      <c r="I280" s="4">
        <v>62</v>
      </c>
      <c r="J280" s="2" t="str">
        <f t="shared" si="8"/>
        <v>High Cost</v>
      </c>
      <c r="K280" s="2" t="str">
        <f t="shared" si="9"/>
        <v>Senior</v>
      </c>
    </row>
    <row r="281" spans="1:11" x14ac:dyDescent="0.25">
      <c r="A281" s="4" t="s">
        <v>305</v>
      </c>
      <c r="B281" s="4" t="s">
        <v>15</v>
      </c>
      <c r="C281" s="4" t="s">
        <v>27</v>
      </c>
      <c r="D281" s="4" t="s">
        <v>31</v>
      </c>
      <c r="E281" s="4" t="s">
        <v>14</v>
      </c>
      <c r="F281" s="4">
        <v>48</v>
      </c>
      <c r="G281" s="8">
        <v>151193</v>
      </c>
      <c r="H281" s="4">
        <v>12</v>
      </c>
      <c r="I281" s="4">
        <v>63</v>
      </c>
      <c r="J281" s="2" t="str">
        <f t="shared" si="8"/>
        <v>High Cost</v>
      </c>
      <c r="K281" s="2" t="str">
        <f t="shared" si="9"/>
        <v>Middle-aged</v>
      </c>
    </row>
    <row r="282" spans="1:11" x14ac:dyDescent="0.25">
      <c r="A282" s="4" t="s">
        <v>306</v>
      </c>
      <c r="B282" s="4" t="s">
        <v>26</v>
      </c>
      <c r="C282" s="4" t="s">
        <v>27</v>
      </c>
      <c r="D282" s="4" t="s">
        <v>31</v>
      </c>
      <c r="E282" s="4" t="s">
        <v>14</v>
      </c>
      <c r="F282" s="4">
        <v>77</v>
      </c>
      <c r="G282" s="8">
        <v>117921</v>
      </c>
      <c r="H282" s="4">
        <v>11</v>
      </c>
      <c r="I282" s="4">
        <v>84</v>
      </c>
      <c r="J282" s="2" t="str">
        <f t="shared" si="8"/>
        <v>High Cost</v>
      </c>
      <c r="K282" s="2" t="str">
        <f t="shared" si="9"/>
        <v>Elderly</v>
      </c>
    </row>
    <row r="283" spans="1:11" x14ac:dyDescent="0.25">
      <c r="A283" s="4" t="s">
        <v>307</v>
      </c>
      <c r="B283" s="4" t="s">
        <v>26</v>
      </c>
      <c r="C283" s="4" t="s">
        <v>19</v>
      </c>
      <c r="D283" s="4" t="s">
        <v>18</v>
      </c>
      <c r="E283" s="4" t="s">
        <v>9</v>
      </c>
      <c r="F283" s="4">
        <v>61</v>
      </c>
      <c r="G283" s="8">
        <v>147584</v>
      </c>
      <c r="H283" s="4">
        <v>12</v>
      </c>
      <c r="I283" s="4">
        <v>83</v>
      </c>
      <c r="J283" s="2" t="str">
        <f t="shared" si="8"/>
        <v>High Cost</v>
      </c>
      <c r="K283" s="2" t="str">
        <f t="shared" si="9"/>
        <v>Senior</v>
      </c>
    </row>
    <row r="284" spans="1:11" x14ac:dyDescent="0.25">
      <c r="A284" s="4" t="s">
        <v>308</v>
      </c>
      <c r="B284" s="4" t="s">
        <v>21</v>
      </c>
      <c r="C284" s="4" t="s">
        <v>12</v>
      </c>
      <c r="D284" s="4" t="s">
        <v>24</v>
      </c>
      <c r="E284" s="4" t="s">
        <v>14</v>
      </c>
      <c r="F284" s="4">
        <v>1</v>
      </c>
      <c r="G284" s="8">
        <v>16596</v>
      </c>
      <c r="H284" s="4">
        <v>20</v>
      </c>
      <c r="I284" s="4">
        <v>76</v>
      </c>
      <c r="J284" s="2" t="str">
        <f t="shared" si="8"/>
        <v>Low Cost</v>
      </c>
      <c r="K284" s="2" t="str">
        <f t="shared" si="9"/>
        <v>Infant / Toddler</v>
      </c>
    </row>
    <row r="285" spans="1:11" x14ac:dyDescent="0.25">
      <c r="A285" s="4" t="s">
        <v>309</v>
      </c>
      <c r="B285" s="4" t="s">
        <v>26</v>
      </c>
      <c r="C285" s="4" t="s">
        <v>19</v>
      </c>
      <c r="D285" s="4" t="s">
        <v>24</v>
      </c>
      <c r="E285" s="4" t="s">
        <v>9</v>
      </c>
      <c r="F285" s="4">
        <v>48</v>
      </c>
      <c r="G285" s="8">
        <v>80746</v>
      </c>
      <c r="H285" s="4">
        <v>21</v>
      </c>
      <c r="I285" s="4">
        <v>90</v>
      </c>
      <c r="J285" s="2" t="str">
        <f t="shared" si="8"/>
        <v>Low Cost</v>
      </c>
      <c r="K285" s="2" t="str">
        <f t="shared" si="9"/>
        <v>Middle-aged</v>
      </c>
    </row>
    <row r="286" spans="1:11" x14ac:dyDescent="0.25">
      <c r="A286" s="4" t="s">
        <v>310</v>
      </c>
      <c r="B286" s="4" t="s">
        <v>36</v>
      </c>
      <c r="C286" s="4" t="s">
        <v>27</v>
      </c>
      <c r="D286" s="4" t="s">
        <v>18</v>
      </c>
      <c r="E286" s="4" t="s">
        <v>9</v>
      </c>
      <c r="F286" s="4">
        <v>70</v>
      </c>
      <c r="G286" s="8">
        <v>95531</v>
      </c>
      <c r="H286" s="4">
        <v>22</v>
      </c>
      <c r="I286" s="4">
        <v>60</v>
      </c>
      <c r="J286" s="2" t="str">
        <f t="shared" si="8"/>
        <v>Low Cost</v>
      </c>
      <c r="K286" s="2" t="str">
        <f t="shared" si="9"/>
        <v>Senior</v>
      </c>
    </row>
    <row r="287" spans="1:11" x14ac:dyDescent="0.25">
      <c r="A287" s="4" t="s">
        <v>311</v>
      </c>
      <c r="B287" s="4" t="s">
        <v>10</v>
      </c>
      <c r="C287" s="4" t="s">
        <v>19</v>
      </c>
      <c r="D287" s="4" t="s">
        <v>31</v>
      </c>
      <c r="E287" s="4" t="s">
        <v>9</v>
      </c>
      <c r="F287" s="4">
        <v>41</v>
      </c>
      <c r="G287" s="8">
        <v>173028</v>
      </c>
      <c r="H287" s="4">
        <v>10</v>
      </c>
      <c r="I287" s="4">
        <v>52</v>
      </c>
      <c r="J287" s="2" t="str">
        <f t="shared" si="8"/>
        <v>High Cost</v>
      </c>
      <c r="K287" s="2" t="str">
        <f t="shared" si="9"/>
        <v>Adult</v>
      </c>
    </row>
    <row r="288" spans="1:11" x14ac:dyDescent="0.25">
      <c r="A288" s="4" t="s">
        <v>312</v>
      </c>
      <c r="B288" s="4" t="s">
        <v>26</v>
      </c>
      <c r="C288" s="4" t="s">
        <v>32</v>
      </c>
      <c r="D288" s="4" t="s">
        <v>11</v>
      </c>
      <c r="E288" s="4" t="s">
        <v>14</v>
      </c>
      <c r="F288" s="4">
        <v>80</v>
      </c>
      <c r="G288" s="8">
        <v>59942</v>
      </c>
      <c r="H288" s="4">
        <v>11</v>
      </c>
      <c r="I288" s="4">
        <v>60</v>
      </c>
      <c r="J288" s="2" t="str">
        <f t="shared" si="8"/>
        <v>Low Cost</v>
      </c>
      <c r="K288" s="2" t="str">
        <f t="shared" si="9"/>
        <v>Elderly</v>
      </c>
    </row>
    <row r="289" spans="1:11" x14ac:dyDescent="0.25">
      <c r="A289" s="4" t="s">
        <v>313</v>
      </c>
      <c r="B289" s="4" t="s">
        <v>15</v>
      </c>
      <c r="C289" s="4" t="s">
        <v>32</v>
      </c>
      <c r="D289" s="4" t="s">
        <v>31</v>
      </c>
      <c r="E289" s="4" t="s">
        <v>9</v>
      </c>
      <c r="F289" s="4">
        <v>85</v>
      </c>
      <c r="G289" s="8">
        <v>179863</v>
      </c>
      <c r="H289" s="4">
        <v>24</v>
      </c>
      <c r="I289" s="4">
        <v>86</v>
      </c>
      <c r="J289" s="2" t="str">
        <f t="shared" si="8"/>
        <v>High Cost</v>
      </c>
      <c r="K289" s="2" t="str">
        <f t="shared" si="9"/>
        <v>Elderly</v>
      </c>
    </row>
    <row r="290" spans="1:11" x14ac:dyDescent="0.25">
      <c r="A290" s="4" t="s">
        <v>314</v>
      </c>
      <c r="B290" s="4" t="s">
        <v>36</v>
      </c>
      <c r="C290" s="4" t="s">
        <v>32</v>
      </c>
      <c r="D290" s="4" t="s">
        <v>11</v>
      </c>
      <c r="E290" s="4" t="s">
        <v>9</v>
      </c>
      <c r="F290" s="4">
        <v>33</v>
      </c>
      <c r="G290" s="8">
        <v>74137</v>
      </c>
      <c r="H290" s="4">
        <v>11</v>
      </c>
      <c r="I290" s="4">
        <v>78</v>
      </c>
      <c r="J290" s="2" t="str">
        <f t="shared" si="8"/>
        <v>Low Cost</v>
      </c>
      <c r="K290" s="2" t="str">
        <f t="shared" si="9"/>
        <v>Adult</v>
      </c>
    </row>
    <row r="291" spans="1:11" x14ac:dyDescent="0.25">
      <c r="A291" s="4" t="s">
        <v>315</v>
      </c>
      <c r="B291" s="4" t="s">
        <v>26</v>
      </c>
      <c r="C291" s="4" t="s">
        <v>32</v>
      </c>
      <c r="D291" s="4" t="s">
        <v>11</v>
      </c>
      <c r="E291" s="4" t="s">
        <v>14</v>
      </c>
      <c r="F291" s="4">
        <v>8</v>
      </c>
      <c r="G291" s="8">
        <v>86710</v>
      </c>
      <c r="H291" s="4">
        <v>6</v>
      </c>
      <c r="I291" s="4">
        <v>83</v>
      </c>
      <c r="J291" s="2" t="str">
        <f t="shared" si="8"/>
        <v>Low Cost</v>
      </c>
      <c r="K291" s="2" t="str">
        <f t="shared" si="9"/>
        <v>Child</v>
      </c>
    </row>
    <row r="292" spans="1:11" x14ac:dyDescent="0.25">
      <c r="A292" s="4" t="s">
        <v>316</v>
      </c>
      <c r="B292" s="4" t="s">
        <v>15</v>
      </c>
      <c r="C292" s="4" t="s">
        <v>32</v>
      </c>
      <c r="D292" s="4" t="s">
        <v>31</v>
      </c>
      <c r="E292" s="4" t="s">
        <v>14</v>
      </c>
      <c r="F292" s="4">
        <v>21</v>
      </c>
      <c r="G292" s="8">
        <v>139631</v>
      </c>
      <c r="H292" s="4">
        <v>24</v>
      </c>
      <c r="I292" s="4">
        <v>66</v>
      </c>
      <c r="J292" s="2" t="str">
        <f t="shared" si="8"/>
        <v>High Cost</v>
      </c>
      <c r="K292" s="2" t="str">
        <f t="shared" si="9"/>
        <v>Young Adult</v>
      </c>
    </row>
    <row r="293" spans="1:11" x14ac:dyDescent="0.25">
      <c r="A293" s="4" t="s">
        <v>317</v>
      </c>
      <c r="B293" s="4" t="s">
        <v>21</v>
      </c>
      <c r="C293" s="4" t="s">
        <v>12</v>
      </c>
      <c r="D293" s="4" t="s">
        <v>31</v>
      </c>
      <c r="E293" s="4" t="s">
        <v>14</v>
      </c>
      <c r="F293" s="4">
        <v>33</v>
      </c>
      <c r="G293" s="8">
        <v>181989</v>
      </c>
      <c r="H293" s="4">
        <v>16</v>
      </c>
      <c r="I293" s="4">
        <v>66</v>
      </c>
      <c r="J293" s="2" t="str">
        <f t="shared" si="8"/>
        <v>High Cost</v>
      </c>
      <c r="K293" s="2" t="str">
        <f t="shared" si="9"/>
        <v>Adult</v>
      </c>
    </row>
    <row r="294" spans="1:11" x14ac:dyDescent="0.25">
      <c r="A294" s="4" t="s">
        <v>318</v>
      </c>
      <c r="B294" s="4" t="s">
        <v>36</v>
      </c>
      <c r="C294" s="4" t="s">
        <v>27</v>
      </c>
      <c r="D294" s="4" t="s">
        <v>11</v>
      </c>
      <c r="E294" s="4" t="s">
        <v>14</v>
      </c>
      <c r="F294" s="4">
        <v>5</v>
      </c>
      <c r="G294" s="8">
        <v>196340</v>
      </c>
      <c r="H294" s="4">
        <v>8</v>
      </c>
      <c r="I294" s="4">
        <v>76</v>
      </c>
      <c r="J294" s="2" t="str">
        <f t="shared" si="8"/>
        <v>High Cost</v>
      </c>
      <c r="K294" s="2" t="str">
        <f t="shared" si="9"/>
        <v>Infant / Toddler</v>
      </c>
    </row>
    <row r="295" spans="1:11" x14ac:dyDescent="0.25">
      <c r="A295" s="4" t="s">
        <v>319</v>
      </c>
      <c r="B295" s="4" t="s">
        <v>21</v>
      </c>
      <c r="C295" s="4" t="s">
        <v>27</v>
      </c>
      <c r="D295" s="4" t="s">
        <v>11</v>
      </c>
      <c r="E295" s="4" t="s">
        <v>14</v>
      </c>
      <c r="F295" s="4">
        <v>53</v>
      </c>
      <c r="G295" s="8">
        <v>166526</v>
      </c>
      <c r="H295" s="4">
        <v>28</v>
      </c>
      <c r="I295" s="4">
        <v>95</v>
      </c>
      <c r="J295" s="2" t="str">
        <f t="shared" si="8"/>
        <v>High Cost</v>
      </c>
      <c r="K295" s="2" t="str">
        <f t="shared" si="9"/>
        <v>Middle-aged</v>
      </c>
    </row>
    <row r="296" spans="1:11" x14ac:dyDescent="0.25">
      <c r="A296" s="4" t="s">
        <v>320</v>
      </c>
      <c r="B296" s="4" t="s">
        <v>26</v>
      </c>
      <c r="C296" s="4" t="s">
        <v>32</v>
      </c>
      <c r="D296" s="4" t="s">
        <v>16</v>
      </c>
      <c r="E296" s="4" t="s">
        <v>9</v>
      </c>
      <c r="F296" s="4">
        <v>78</v>
      </c>
      <c r="G296" s="8">
        <v>46193</v>
      </c>
      <c r="H296" s="4">
        <v>6</v>
      </c>
      <c r="I296" s="4">
        <v>93</v>
      </c>
      <c r="J296" s="2" t="str">
        <f t="shared" si="8"/>
        <v>Low Cost</v>
      </c>
      <c r="K296" s="2" t="str">
        <f t="shared" si="9"/>
        <v>Elderly</v>
      </c>
    </row>
    <row r="297" spans="1:11" x14ac:dyDescent="0.25">
      <c r="A297" s="4" t="s">
        <v>321</v>
      </c>
      <c r="B297" s="4" t="s">
        <v>23</v>
      </c>
      <c r="C297" s="4" t="s">
        <v>32</v>
      </c>
      <c r="D297" s="4" t="s">
        <v>18</v>
      </c>
      <c r="E297" s="4" t="s">
        <v>14</v>
      </c>
      <c r="F297" s="4">
        <v>16</v>
      </c>
      <c r="G297" s="8">
        <v>50419</v>
      </c>
      <c r="H297" s="4">
        <v>7</v>
      </c>
      <c r="I297" s="4">
        <v>89</v>
      </c>
      <c r="J297" s="2" t="str">
        <f t="shared" si="8"/>
        <v>Low Cost</v>
      </c>
      <c r="K297" s="2" t="str">
        <f t="shared" si="9"/>
        <v>Teenager</v>
      </c>
    </row>
    <row r="298" spans="1:11" x14ac:dyDescent="0.25">
      <c r="A298" s="4" t="s">
        <v>322</v>
      </c>
      <c r="B298" s="4" t="s">
        <v>26</v>
      </c>
      <c r="C298" s="4" t="s">
        <v>32</v>
      </c>
      <c r="D298" s="4" t="s">
        <v>11</v>
      </c>
      <c r="E298" s="4" t="s">
        <v>14</v>
      </c>
      <c r="F298" s="4">
        <v>74</v>
      </c>
      <c r="G298" s="8">
        <v>31182</v>
      </c>
      <c r="H298" s="4">
        <v>18</v>
      </c>
      <c r="I298" s="4">
        <v>83</v>
      </c>
      <c r="J298" s="2" t="str">
        <f t="shared" si="8"/>
        <v>Low Cost</v>
      </c>
      <c r="K298" s="2" t="str">
        <f t="shared" si="9"/>
        <v>Senior</v>
      </c>
    </row>
    <row r="299" spans="1:11" x14ac:dyDescent="0.25">
      <c r="A299" s="4" t="s">
        <v>323</v>
      </c>
      <c r="B299" s="4" t="s">
        <v>15</v>
      </c>
      <c r="C299" s="4" t="s">
        <v>27</v>
      </c>
      <c r="D299" s="4" t="s">
        <v>24</v>
      </c>
      <c r="E299" s="4" t="s">
        <v>14</v>
      </c>
      <c r="F299" s="4">
        <v>64</v>
      </c>
      <c r="G299" s="8">
        <v>60013</v>
      </c>
      <c r="H299" s="4">
        <v>7</v>
      </c>
      <c r="I299" s="4">
        <v>74</v>
      </c>
      <c r="J299" s="2" t="str">
        <f t="shared" si="8"/>
        <v>Low Cost</v>
      </c>
      <c r="K299" s="2" t="str">
        <f t="shared" si="9"/>
        <v>Senior</v>
      </c>
    </row>
    <row r="300" spans="1:11" x14ac:dyDescent="0.25">
      <c r="A300" s="4" t="s">
        <v>324</v>
      </c>
      <c r="B300" s="4" t="s">
        <v>26</v>
      </c>
      <c r="C300" s="4" t="s">
        <v>19</v>
      </c>
      <c r="D300" s="4" t="s">
        <v>11</v>
      </c>
      <c r="E300" s="4" t="s">
        <v>9</v>
      </c>
      <c r="F300" s="4">
        <v>59</v>
      </c>
      <c r="G300" s="8">
        <v>160276</v>
      </c>
      <c r="H300" s="4">
        <v>18</v>
      </c>
      <c r="I300" s="4">
        <v>75</v>
      </c>
      <c r="J300" s="2" t="str">
        <f t="shared" si="8"/>
        <v>High Cost</v>
      </c>
      <c r="K300" s="2" t="str">
        <f t="shared" si="9"/>
        <v>Middle-aged</v>
      </c>
    </row>
    <row r="301" spans="1:11" x14ac:dyDescent="0.25">
      <c r="A301" s="4" t="s">
        <v>325</v>
      </c>
      <c r="B301" s="4" t="s">
        <v>26</v>
      </c>
      <c r="C301" s="4" t="s">
        <v>19</v>
      </c>
      <c r="D301" s="4" t="s">
        <v>16</v>
      </c>
      <c r="E301" s="4" t="s">
        <v>9</v>
      </c>
      <c r="F301" s="4">
        <v>33</v>
      </c>
      <c r="G301" s="8">
        <v>28980</v>
      </c>
      <c r="H301" s="4">
        <v>16</v>
      </c>
      <c r="I301" s="4">
        <v>75</v>
      </c>
      <c r="J301" s="2" t="str">
        <f t="shared" si="8"/>
        <v>Low Cost</v>
      </c>
      <c r="K301" s="2" t="str">
        <f t="shared" si="9"/>
        <v>Adult</v>
      </c>
    </row>
    <row r="302" spans="1:11" x14ac:dyDescent="0.25">
      <c r="A302" s="4" t="s">
        <v>326</v>
      </c>
      <c r="B302" s="4" t="s">
        <v>36</v>
      </c>
      <c r="C302" s="4" t="s">
        <v>27</v>
      </c>
      <c r="D302" s="4" t="s">
        <v>18</v>
      </c>
      <c r="E302" s="4" t="s">
        <v>14</v>
      </c>
      <c r="F302" s="4">
        <v>32</v>
      </c>
      <c r="G302" s="8">
        <v>77683</v>
      </c>
      <c r="H302" s="4">
        <v>6</v>
      </c>
      <c r="I302" s="4">
        <v>50</v>
      </c>
      <c r="J302" s="2" t="str">
        <f t="shared" si="8"/>
        <v>Low Cost</v>
      </c>
      <c r="K302" s="2" t="str">
        <f t="shared" si="9"/>
        <v>Adult</v>
      </c>
    </row>
    <row r="303" spans="1:11" x14ac:dyDescent="0.25">
      <c r="A303" s="4" t="s">
        <v>327</v>
      </c>
      <c r="B303" s="4" t="s">
        <v>23</v>
      </c>
      <c r="C303" s="4" t="s">
        <v>19</v>
      </c>
      <c r="D303" s="4" t="s">
        <v>11</v>
      </c>
      <c r="E303" s="4" t="s">
        <v>14</v>
      </c>
      <c r="F303" s="4">
        <v>76</v>
      </c>
      <c r="G303" s="8">
        <v>51359</v>
      </c>
      <c r="H303" s="4">
        <v>30</v>
      </c>
      <c r="I303" s="4">
        <v>52</v>
      </c>
      <c r="J303" s="2" t="str">
        <f t="shared" si="8"/>
        <v>Low Cost</v>
      </c>
      <c r="K303" s="2" t="str">
        <f t="shared" si="9"/>
        <v>Elderly</v>
      </c>
    </row>
    <row r="304" spans="1:11" x14ac:dyDescent="0.25">
      <c r="A304" s="4" t="s">
        <v>328</v>
      </c>
      <c r="B304" s="4" t="s">
        <v>10</v>
      </c>
      <c r="C304" s="4" t="s">
        <v>12</v>
      </c>
      <c r="D304" s="4" t="s">
        <v>16</v>
      </c>
      <c r="E304" s="4" t="s">
        <v>9</v>
      </c>
      <c r="F304" s="4">
        <v>23</v>
      </c>
      <c r="G304" s="8">
        <v>78579</v>
      </c>
      <c r="H304" s="4">
        <v>20</v>
      </c>
      <c r="I304" s="4">
        <v>67</v>
      </c>
      <c r="J304" s="2" t="str">
        <f t="shared" si="8"/>
        <v>Low Cost</v>
      </c>
      <c r="K304" s="2" t="str">
        <f t="shared" si="9"/>
        <v>Young Adult</v>
      </c>
    </row>
    <row r="305" spans="1:11" x14ac:dyDescent="0.25">
      <c r="A305" s="4" t="s">
        <v>329</v>
      </c>
      <c r="B305" s="4" t="s">
        <v>10</v>
      </c>
      <c r="C305" s="4" t="s">
        <v>27</v>
      </c>
      <c r="D305" s="4" t="s">
        <v>24</v>
      </c>
      <c r="E305" s="4" t="s">
        <v>14</v>
      </c>
      <c r="F305" s="4">
        <v>81</v>
      </c>
      <c r="G305" s="8">
        <v>90520</v>
      </c>
      <c r="H305" s="4">
        <v>15</v>
      </c>
      <c r="I305" s="4">
        <v>92</v>
      </c>
      <c r="J305" s="2" t="str">
        <f t="shared" si="8"/>
        <v>Low Cost</v>
      </c>
      <c r="K305" s="2" t="str">
        <f t="shared" si="9"/>
        <v>Elderly</v>
      </c>
    </row>
    <row r="306" spans="1:11" x14ac:dyDescent="0.25">
      <c r="A306" s="4" t="s">
        <v>330</v>
      </c>
      <c r="B306" s="4" t="s">
        <v>26</v>
      </c>
      <c r="C306" s="4" t="s">
        <v>19</v>
      </c>
      <c r="D306" s="4" t="s">
        <v>31</v>
      </c>
      <c r="E306" s="4" t="s">
        <v>14</v>
      </c>
      <c r="F306" s="4">
        <v>24</v>
      </c>
      <c r="G306" s="8">
        <v>131871</v>
      </c>
      <c r="H306" s="4">
        <v>6</v>
      </c>
      <c r="I306" s="4">
        <v>92</v>
      </c>
      <c r="J306" s="2" t="str">
        <f t="shared" si="8"/>
        <v>High Cost</v>
      </c>
      <c r="K306" s="2" t="str">
        <f t="shared" si="9"/>
        <v>Young Adult</v>
      </c>
    </row>
    <row r="307" spans="1:11" x14ac:dyDescent="0.25">
      <c r="A307" s="4" t="s">
        <v>331</v>
      </c>
      <c r="B307" s="4" t="s">
        <v>26</v>
      </c>
      <c r="C307" s="4" t="s">
        <v>27</v>
      </c>
      <c r="D307" s="4" t="s">
        <v>24</v>
      </c>
      <c r="E307" s="4" t="s">
        <v>9</v>
      </c>
      <c r="F307" s="4">
        <v>64</v>
      </c>
      <c r="G307" s="8">
        <v>85240</v>
      </c>
      <c r="H307" s="4">
        <v>5</v>
      </c>
      <c r="I307" s="4">
        <v>75</v>
      </c>
      <c r="J307" s="2" t="str">
        <f t="shared" si="8"/>
        <v>Low Cost</v>
      </c>
      <c r="K307" s="2" t="str">
        <f t="shared" si="9"/>
        <v>Senior</v>
      </c>
    </row>
    <row r="308" spans="1:11" x14ac:dyDescent="0.25">
      <c r="A308" s="4" t="s">
        <v>332</v>
      </c>
      <c r="B308" s="4" t="s">
        <v>10</v>
      </c>
      <c r="C308" s="4" t="s">
        <v>27</v>
      </c>
      <c r="D308" s="4" t="s">
        <v>11</v>
      </c>
      <c r="E308" s="4" t="s">
        <v>9</v>
      </c>
      <c r="F308" s="4">
        <v>23</v>
      </c>
      <c r="G308" s="8">
        <v>31257</v>
      </c>
      <c r="H308" s="4">
        <v>6</v>
      </c>
      <c r="I308" s="4">
        <v>65</v>
      </c>
      <c r="J308" s="2" t="str">
        <f t="shared" si="8"/>
        <v>Low Cost</v>
      </c>
      <c r="K308" s="2" t="str">
        <f t="shared" si="9"/>
        <v>Young Adult</v>
      </c>
    </row>
    <row r="309" spans="1:11" x14ac:dyDescent="0.25">
      <c r="A309" s="4" t="s">
        <v>333</v>
      </c>
      <c r="B309" s="4" t="s">
        <v>15</v>
      </c>
      <c r="C309" s="4" t="s">
        <v>19</v>
      </c>
      <c r="D309" s="4" t="s">
        <v>24</v>
      </c>
      <c r="E309" s="4" t="s">
        <v>14</v>
      </c>
      <c r="F309" s="4">
        <v>9</v>
      </c>
      <c r="G309" s="8">
        <v>35764</v>
      </c>
      <c r="H309" s="4">
        <v>8</v>
      </c>
      <c r="I309" s="4">
        <v>94</v>
      </c>
      <c r="J309" s="2" t="str">
        <f t="shared" si="8"/>
        <v>Low Cost</v>
      </c>
      <c r="K309" s="2" t="str">
        <f t="shared" si="9"/>
        <v>Child</v>
      </c>
    </row>
    <row r="310" spans="1:11" x14ac:dyDescent="0.25">
      <c r="A310" s="4" t="s">
        <v>334</v>
      </c>
      <c r="B310" s="4" t="s">
        <v>36</v>
      </c>
      <c r="C310" s="4" t="s">
        <v>19</v>
      </c>
      <c r="D310" s="4" t="s">
        <v>11</v>
      </c>
      <c r="E310" s="4" t="s">
        <v>9</v>
      </c>
      <c r="F310" s="4">
        <v>19</v>
      </c>
      <c r="G310" s="8">
        <v>80727</v>
      </c>
      <c r="H310" s="4">
        <v>10</v>
      </c>
      <c r="I310" s="4">
        <v>92</v>
      </c>
      <c r="J310" s="2" t="str">
        <f t="shared" si="8"/>
        <v>Low Cost</v>
      </c>
      <c r="K310" s="2" t="str">
        <f t="shared" si="9"/>
        <v>Teenager</v>
      </c>
    </row>
    <row r="311" spans="1:11" x14ac:dyDescent="0.25">
      <c r="A311" s="4" t="s">
        <v>335</v>
      </c>
      <c r="B311" s="4" t="s">
        <v>26</v>
      </c>
      <c r="C311" s="4" t="s">
        <v>19</v>
      </c>
      <c r="D311" s="4" t="s">
        <v>18</v>
      </c>
      <c r="E311" s="4" t="s">
        <v>9</v>
      </c>
      <c r="F311" s="4">
        <v>40</v>
      </c>
      <c r="G311" s="8">
        <v>195050</v>
      </c>
      <c r="H311" s="4">
        <v>12</v>
      </c>
      <c r="I311" s="4">
        <v>89</v>
      </c>
      <c r="J311" s="2" t="str">
        <f t="shared" si="8"/>
        <v>High Cost</v>
      </c>
      <c r="K311" s="2" t="str">
        <f t="shared" si="9"/>
        <v>Adult</v>
      </c>
    </row>
    <row r="312" spans="1:11" x14ac:dyDescent="0.25">
      <c r="A312" s="4" t="s">
        <v>336</v>
      </c>
      <c r="B312" s="4" t="s">
        <v>15</v>
      </c>
      <c r="C312" s="4" t="s">
        <v>19</v>
      </c>
      <c r="D312" s="4" t="s">
        <v>16</v>
      </c>
      <c r="E312" s="4" t="s">
        <v>14</v>
      </c>
      <c r="F312" s="4">
        <v>85</v>
      </c>
      <c r="G312" s="8">
        <v>112607</v>
      </c>
      <c r="H312" s="4">
        <v>25</v>
      </c>
      <c r="I312" s="4">
        <v>85</v>
      </c>
      <c r="J312" s="2" t="str">
        <f t="shared" si="8"/>
        <v>High Cost</v>
      </c>
      <c r="K312" s="2" t="str">
        <f t="shared" si="9"/>
        <v>Elderly</v>
      </c>
    </row>
    <row r="313" spans="1:11" x14ac:dyDescent="0.25">
      <c r="A313" s="4" t="s">
        <v>337</v>
      </c>
      <c r="B313" s="4" t="s">
        <v>21</v>
      </c>
      <c r="C313" s="4" t="s">
        <v>27</v>
      </c>
      <c r="D313" s="4" t="s">
        <v>11</v>
      </c>
      <c r="E313" s="4" t="s">
        <v>9</v>
      </c>
      <c r="F313" s="4">
        <v>3</v>
      </c>
      <c r="G313" s="8">
        <v>47718</v>
      </c>
      <c r="H313" s="4">
        <v>19</v>
      </c>
      <c r="I313" s="4">
        <v>53</v>
      </c>
      <c r="J313" s="2" t="str">
        <f t="shared" si="8"/>
        <v>Low Cost</v>
      </c>
      <c r="K313" s="2" t="str">
        <f t="shared" si="9"/>
        <v>Infant / Toddler</v>
      </c>
    </row>
    <row r="314" spans="1:11" x14ac:dyDescent="0.25">
      <c r="A314" s="4" t="s">
        <v>338</v>
      </c>
      <c r="B314" s="4" t="s">
        <v>23</v>
      </c>
      <c r="C314" s="4" t="s">
        <v>12</v>
      </c>
      <c r="D314" s="4" t="s">
        <v>31</v>
      </c>
      <c r="E314" s="4" t="s">
        <v>9</v>
      </c>
      <c r="F314" s="4">
        <v>49</v>
      </c>
      <c r="G314" s="8">
        <v>106056</v>
      </c>
      <c r="H314" s="4">
        <v>19</v>
      </c>
      <c r="I314" s="4">
        <v>57</v>
      </c>
      <c r="J314" s="2" t="str">
        <f t="shared" si="8"/>
        <v>High Cost</v>
      </c>
      <c r="K314" s="2" t="str">
        <f t="shared" si="9"/>
        <v>Middle-aged</v>
      </c>
    </row>
    <row r="315" spans="1:11" x14ac:dyDescent="0.25">
      <c r="A315" s="4" t="s">
        <v>339</v>
      </c>
      <c r="B315" s="4" t="s">
        <v>23</v>
      </c>
      <c r="C315" s="4" t="s">
        <v>27</v>
      </c>
      <c r="D315" s="4" t="s">
        <v>24</v>
      </c>
      <c r="E315" s="4" t="s">
        <v>9</v>
      </c>
      <c r="F315" s="4">
        <v>69</v>
      </c>
      <c r="G315" s="8">
        <v>40213</v>
      </c>
      <c r="H315" s="4">
        <v>24</v>
      </c>
      <c r="I315" s="4">
        <v>72</v>
      </c>
      <c r="J315" s="2" t="str">
        <f t="shared" si="8"/>
        <v>Low Cost</v>
      </c>
      <c r="K315" s="2" t="str">
        <f t="shared" si="9"/>
        <v>Senior</v>
      </c>
    </row>
    <row r="316" spans="1:11" x14ac:dyDescent="0.25">
      <c r="A316" s="4" t="s">
        <v>340</v>
      </c>
      <c r="B316" s="4" t="s">
        <v>26</v>
      </c>
      <c r="C316" s="4" t="s">
        <v>19</v>
      </c>
      <c r="D316" s="4" t="s">
        <v>18</v>
      </c>
      <c r="E316" s="4" t="s">
        <v>14</v>
      </c>
      <c r="F316" s="4">
        <v>70</v>
      </c>
      <c r="G316" s="8">
        <v>146411</v>
      </c>
      <c r="H316" s="4">
        <v>27</v>
      </c>
      <c r="I316" s="4">
        <v>82</v>
      </c>
      <c r="J316" s="2" t="str">
        <f t="shared" si="8"/>
        <v>High Cost</v>
      </c>
      <c r="K316" s="2" t="str">
        <f t="shared" si="9"/>
        <v>Senior</v>
      </c>
    </row>
    <row r="317" spans="1:11" x14ac:dyDescent="0.25">
      <c r="A317" s="4" t="s">
        <v>341</v>
      </c>
      <c r="B317" s="4" t="s">
        <v>23</v>
      </c>
      <c r="C317" s="4" t="s">
        <v>19</v>
      </c>
      <c r="D317" s="4" t="s">
        <v>24</v>
      </c>
      <c r="E317" s="4" t="s">
        <v>14</v>
      </c>
      <c r="F317" s="4">
        <v>20</v>
      </c>
      <c r="G317" s="8">
        <v>26271</v>
      </c>
      <c r="H317" s="4">
        <v>18</v>
      </c>
      <c r="I317" s="4">
        <v>72</v>
      </c>
      <c r="J317" s="2" t="str">
        <f t="shared" si="8"/>
        <v>Low Cost</v>
      </c>
      <c r="K317" s="2" t="str">
        <f t="shared" si="9"/>
        <v>Young Adult</v>
      </c>
    </row>
    <row r="318" spans="1:11" x14ac:dyDescent="0.25">
      <c r="A318" s="4" t="s">
        <v>342</v>
      </c>
      <c r="B318" s="4" t="s">
        <v>23</v>
      </c>
      <c r="C318" s="4" t="s">
        <v>32</v>
      </c>
      <c r="D318" s="4" t="s">
        <v>31</v>
      </c>
      <c r="E318" s="4" t="s">
        <v>9</v>
      </c>
      <c r="F318" s="4">
        <v>3</v>
      </c>
      <c r="G318" s="8">
        <v>162199</v>
      </c>
      <c r="H318" s="4">
        <v>15</v>
      </c>
      <c r="I318" s="4">
        <v>66</v>
      </c>
      <c r="J318" s="2" t="str">
        <f t="shared" si="8"/>
        <v>High Cost</v>
      </c>
      <c r="K318" s="2" t="str">
        <f t="shared" si="9"/>
        <v>Infant / Toddler</v>
      </c>
    </row>
    <row r="319" spans="1:11" x14ac:dyDescent="0.25">
      <c r="A319" s="4" t="s">
        <v>343</v>
      </c>
      <c r="B319" s="4" t="s">
        <v>23</v>
      </c>
      <c r="C319" s="4" t="s">
        <v>32</v>
      </c>
      <c r="D319" s="4" t="s">
        <v>16</v>
      </c>
      <c r="E319" s="4" t="s">
        <v>9</v>
      </c>
      <c r="F319" s="4">
        <v>62</v>
      </c>
      <c r="G319" s="8">
        <v>48531</v>
      </c>
      <c r="H319" s="4">
        <v>15</v>
      </c>
      <c r="I319" s="4">
        <v>83</v>
      </c>
      <c r="J319" s="2" t="str">
        <f t="shared" si="8"/>
        <v>Low Cost</v>
      </c>
      <c r="K319" s="2" t="str">
        <f t="shared" si="9"/>
        <v>Senior</v>
      </c>
    </row>
    <row r="320" spans="1:11" x14ac:dyDescent="0.25">
      <c r="A320" s="4" t="s">
        <v>344</v>
      </c>
      <c r="B320" s="4" t="s">
        <v>36</v>
      </c>
      <c r="C320" s="4" t="s">
        <v>32</v>
      </c>
      <c r="D320" s="4" t="s">
        <v>31</v>
      </c>
      <c r="E320" s="4" t="s">
        <v>41</v>
      </c>
      <c r="F320" s="4">
        <v>12</v>
      </c>
      <c r="G320" s="8">
        <v>128536</v>
      </c>
      <c r="H320" s="4">
        <v>10</v>
      </c>
      <c r="I320" s="4">
        <v>93</v>
      </c>
      <c r="J320" s="2" t="str">
        <f t="shared" si="8"/>
        <v>High Cost</v>
      </c>
      <c r="K320" s="2" t="str">
        <f t="shared" si="9"/>
        <v>Child</v>
      </c>
    </row>
    <row r="321" spans="1:11" x14ac:dyDescent="0.25">
      <c r="A321" s="4" t="s">
        <v>345</v>
      </c>
      <c r="B321" s="4" t="s">
        <v>26</v>
      </c>
      <c r="C321" s="4" t="s">
        <v>19</v>
      </c>
      <c r="D321" s="4" t="s">
        <v>11</v>
      </c>
      <c r="E321" s="4" t="s">
        <v>14</v>
      </c>
      <c r="F321" s="4">
        <v>58</v>
      </c>
      <c r="G321" s="8">
        <v>177455</v>
      </c>
      <c r="H321" s="4">
        <v>25</v>
      </c>
      <c r="I321" s="4">
        <v>62</v>
      </c>
      <c r="J321" s="2" t="str">
        <f t="shared" si="8"/>
        <v>High Cost</v>
      </c>
      <c r="K321" s="2" t="str">
        <f t="shared" si="9"/>
        <v>Middle-aged</v>
      </c>
    </row>
    <row r="322" spans="1:11" x14ac:dyDescent="0.25">
      <c r="A322" s="4" t="s">
        <v>346</v>
      </c>
      <c r="B322" s="4" t="s">
        <v>21</v>
      </c>
      <c r="C322" s="4" t="s">
        <v>32</v>
      </c>
      <c r="D322" s="4" t="s">
        <v>16</v>
      </c>
      <c r="E322" s="4" t="s">
        <v>14</v>
      </c>
      <c r="F322" s="4">
        <v>31</v>
      </c>
      <c r="G322" s="8">
        <v>157570</v>
      </c>
      <c r="H322" s="4">
        <v>7</v>
      </c>
      <c r="I322" s="4">
        <v>60</v>
      </c>
      <c r="J322" s="2" t="str">
        <f t="shared" si="8"/>
        <v>High Cost</v>
      </c>
      <c r="K322" s="2" t="str">
        <f t="shared" si="9"/>
        <v>Adult</v>
      </c>
    </row>
    <row r="323" spans="1:11" x14ac:dyDescent="0.25">
      <c r="A323" s="4" t="s">
        <v>347</v>
      </c>
      <c r="B323" s="4" t="s">
        <v>23</v>
      </c>
      <c r="C323" s="4" t="s">
        <v>27</v>
      </c>
      <c r="D323" s="4" t="s">
        <v>24</v>
      </c>
      <c r="E323" s="4" t="s">
        <v>9</v>
      </c>
      <c r="F323" s="4">
        <v>53</v>
      </c>
      <c r="G323" s="8">
        <v>86882</v>
      </c>
      <c r="H323" s="4">
        <v>7</v>
      </c>
      <c r="I323" s="4">
        <v>73</v>
      </c>
      <c r="J323" s="2" t="str">
        <f t="shared" ref="J323:J386" si="10">IF(G323&gt;100000, "High Cost", "Low Cost")</f>
        <v>Low Cost</v>
      </c>
      <c r="K323" s="2" t="str">
        <f t="shared" ref="K323:K386" si="11">IF(F323&lt;=5,"Infant / Toddler",IF(F323&lt;=12,"Child",IF(F323&lt;=19,"Teenager",IF(F323&lt;=29,"Young Adult",IF(F323&lt;=44,"Adult",IF(F323&lt;=59,"Middle-aged",IF(F323&lt;=74,"Senior","Elderly")))))))</f>
        <v>Middle-aged</v>
      </c>
    </row>
    <row r="324" spans="1:11" x14ac:dyDescent="0.25">
      <c r="A324" s="4" t="s">
        <v>348</v>
      </c>
      <c r="B324" s="4" t="s">
        <v>10</v>
      </c>
      <c r="C324" s="4" t="s">
        <v>32</v>
      </c>
      <c r="D324" s="4" t="s">
        <v>31</v>
      </c>
      <c r="E324" s="4" t="s">
        <v>14</v>
      </c>
      <c r="F324" s="4">
        <v>2</v>
      </c>
      <c r="G324" s="8">
        <v>191016</v>
      </c>
      <c r="H324" s="4">
        <v>17</v>
      </c>
      <c r="I324" s="4">
        <v>55</v>
      </c>
      <c r="J324" s="2" t="str">
        <f t="shared" si="10"/>
        <v>High Cost</v>
      </c>
      <c r="K324" s="2" t="str">
        <f t="shared" si="11"/>
        <v>Infant / Toddler</v>
      </c>
    </row>
    <row r="325" spans="1:11" x14ac:dyDescent="0.25">
      <c r="A325" s="4" t="s">
        <v>349</v>
      </c>
      <c r="B325" s="4" t="s">
        <v>26</v>
      </c>
      <c r="C325" s="4" t="s">
        <v>19</v>
      </c>
      <c r="D325" s="4" t="s">
        <v>24</v>
      </c>
      <c r="E325" s="4" t="s">
        <v>14</v>
      </c>
      <c r="F325" s="4">
        <v>17</v>
      </c>
      <c r="G325" s="8">
        <v>46050</v>
      </c>
      <c r="H325" s="4">
        <v>11</v>
      </c>
      <c r="I325" s="4">
        <v>86</v>
      </c>
      <c r="J325" s="2" t="str">
        <f t="shared" si="10"/>
        <v>Low Cost</v>
      </c>
      <c r="K325" s="2" t="str">
        <f t="shared" si="11"/>
        <v>Teenager</v>
      </c>
    </row>
    <row r="326" spans="1:11" x14ac:dyDescent="0.25">
      <c r="A326" s="4" t="s">
        <v>350</v>
      </c>
      <c r="B326" s="4" t="s">
        <v>36</v>
      </c>
      <c r="C326" s="4" t="s">
        <v>27</v>
      </c>
      <c r="D326" s="4" t="s">
        <v>11</v>
      </c>
      <c r="E326" s="4" t="s">
        <v>14</v>
      </c>
      <c r="F326" s="4">
        <v>2</v>
      </c>
      <c r="G326" s="8">
        <v>99522</v>
      </c>
      <c r="H326" s="4">
        <v>21</v>
      </c>
      <c r="I326" s="4">
        <v>68</v>
      </c>
      <c r="J326" s="2" t="str">
        <f t="shared" si="10"/>
        <v>Low Cost</v>
      </c>
      <c r="K326" s="2" t="str">
        <f t="shared" si="11"/>
        <v>Infant / Toddler</v>
      </c>
    </row>
    <row r="327" spans="1:11" x14ac:dyDescent="0.25">
      <c r="A327" s="4" t="s">
        <v>351</v>
      </c>
      <c r="B327" s="4" t="s">
        <v>23</v>
      </c>
      <c r="C327" s="4" t="s">
        <v>12</v>
      </c>
      <c r="D327" s="4" t="s">
        <v>11</v>
      </c>
      <c r="E327" s="4" t="s">
        <v>9</v>
      </c>
      <c r="F327" s="4">
        <v>44</v>
      </c>
      <c r="G327" s="8">
        <v>24046</v>
      </c>
      <c r="H327" s="4">
        <v>11</v>
      </c>
      <c r="I327" s="4">
        <v>68</v>
      </c>
      <c r="J327" s="2" t="str">
        <f t="shared" si="10"/>
        <v>Low Cost</v>
      </c>
      <c r="K327" s="2" t="str">
        <f t="shared" si="11"/>
        <v>Adult</v>
      </c>
    </row>
    <row r="328" spans="1:11" x14ac:dyDescent="0.25">
      <c r="A328" s="4" t="s">
        <v>352</v>
      </c>
      <c r="B328" s="4" t="s">
        <v>10</v>
      </c>
      <c r="C328" s="4" t="s">
        <v>32</v>
      </c>
      <c r="D328" s="4" t="s">
        <v>16</v>
      </c>
      <c r="E328" s="4" t="s">
        <v>9</v>
      </c>
      <c r="F328" s="4">
        <v>24</v>
      </c>
      <c r="G328" s="8">
        <v>64542</v>
      </c>
      <c r="H328" s="4">
        <v>7</v>
      </c>
      <c r="I328" s="4">
        <v>85</v>
      </c>
      <c r="J328" s="2" t="str">
        <f t="shared" si="10"/>
        <v>Low Cost</v>
      </c>
      <c r="K328" s="2" t="str">
        <f t="shared" si="11"/>
        <v>Young Adult</v>
      </c>
    </row>
    <row r="329" spans="1:11" x14ac:dyDescent="0.25">
      <c r="A329" s="4" t="s">
        <v>353</v>
      </c>
      <c r="B329" s="4" t="s">
        <v>15</v>
      </c>
      <c r="C329" s="4" t="s">
        <v>12</v>
      </c>
      <c r="D329" s="4" t="s">
        <v>11</v>
      </c>
      <c r="E329" s="4" t="s">
        <v>41</v>
      </c>
      <c r="F329" s="4">
        <v>36</v>
      </c>
      <c r="G329" s="8">
        <v>135054</v>
      </c>
      <c r="H329" s="4">
        <v>20</v>
      </c>
      <c r="I329" s="4">
        <v>52</v>
      </c>
      <c r="J329" s="2" t="str">
        <f t="shared" si="10"/>
        <v>High Cost</v>
      </c>
      <c r="K329" s="2" t="str">
        <f t="shared" si="11"/>
        <v>Adult</v>
      </c>
    </row>
    <row r="330" spans="1:11" x14ac:dyDescent="0.25">
      <c r="A330" s="4" t="s">
        <v>354</v>
      </c>
      <c r="B330" s="4" t="s">
        <v>15</v>
      </c>
      <c r="C330" s="4" t="s">
        <v>19</v>
      </c>
      <c r="D330" s="4" t="s">
        <v>18</v>
      </c>
      <c r="E330" s="4" t="s">
        <v>14</v>
      </c>
      <c r="F330" s="4">
        <v>55</v>
      </c>
      <c r="G330" s="8">
        <v>15590</v>
      </c>
      <c r="H330" s="4">
        <v>27</v>
      </c>
      <c r="I330" s="4">
        <v>82</v>
      </c>
      <c r="J330" s="2" t="str">
        <f t="shared" si="10"/>
        <v>Low Cost</v>
      </c>
      <c r="K330" s="2" t="str">
        <f t="shared" si="11"/>
        <v>Middle-aged</v>
      </c>
    </row>
    <row r="331" spans="1:11" x14ac:dyDescent="0.25">
      <c r="A331" s="4" t="s">
        <v>355</v>
      </c>
      <c r="B331" s="4" t="s">
        <v>10</v>
      </c>
      <c r="C331" s="4" t="s">
        <v>32</v>
      </c>
      <c r="D331" s="4" t="s">
        <v>24</v>
      </c>
      <c r="E331" s="4" t="s">
        <v>14</v>
      </c>
      <c r="F331" s="4">
        <v>43</v>
      </c>
      <c r="G331" s="8">
        <v>188425</v>
      </c>
      <c r="H331" s="4">
        <v>26</v>
      </c>
      <c r="I331" s="4">
        <v>88</v>
      </c>
      <c r="J331" s="2" t="str">
        <f t="shared" si="10"/>
        <v>High Cost</v>
      </c>
      <c r="K331" s="2" t="str">
        <f t="shared" si="11"/>
        <v>Adult</v>
      </c>
    </row>
    <row r="332" spans="1:11" x14ac:dyDescent="0.25">
      <c r="A332" s="4" t="s">
        <v>356</v>
      </c>
      <c r="B332" s="4" t="s">
        <v>21</v>
      </c>
      <c r="C332" s="4" t="s">
        <v>27</v>
      </c>
      <c r="D332" s="4" t="s">
        <v>31</v>
      </c>
      <c r="E332" s="4" t="s">
        <v>14</v>
      </c>
      <c r="F332" s="4">
        <v>77</v>
      </c>
      <c r="G332" s="8">
        <v>104037</v>
      </c>
      <c r="H332" s="4">
        <v>11</v>
      </c>
      <c r="I332" s="4">
        <v>67</v>
      </c>
      <c r="J332" s="2" t="str">
        <f t="shared" si="10"/>
        <v>High Cost</v>
      </c>
      <c r="K332" s="2" t="str">
        <f t="shared" si="11"/>
        <v>Elderly</v>
      </c>
    </row>
    <row r="333" spans="1:11" x14ac:dyDescent="0.25">
      <c r="A333" s="4" t="s">
        <v>357</v>
      </c>
      <c r="B333" s="4" t="s">
        <v>21</v>
      </c>
      <c r="C333" s="4" t="s">
        <v>19</v>
      </c>
      <c r="D333" s="4" t="s">
        <v>18</v>
      </c>
      <c r="E333" s="4" t="s">
        <v>9</v>
      </c>
      <c r="F333" s="4">
        <v>85</v>
      </c>
      <c r="G333" s="8">
        <v>167322</v>
      </c>
      <c r="H333" s="4">
        <v>19</v>
      </c>
      <c r="I333" s="4">
        <v>81</v>
      </c>
      <c r="J333" s="2" t="str">
        <f t="shared" si="10"/>
        <v>High Cost</v>
      </c>
      <c r="K333" s="2" t="str">
        <f t="shared" si="11"/>
        <v>Elderly</v>
      </c>
    </row>
    <row r="334" spans="1:11" x14ac:dyDescent="0.25">
      <c r="A334" s="4" t="s">
        <v>358</v>
      </c>
      <c r="B334" s="4" t="s">
        <v>21</v>
      </c>
      <c r="C334" s="4" t="s">
        <v>19</v>
      </c>
      <c r="D334" s="4" t="s">
        <v>24</v>
      </c>
      <c r="E334" s="4" t="s">
        <v>14</v>
      </c>
      <c r="F334" s="4">
        <v>11</v>
      </c>
      <c r="G334" s="8">
        <v>112393</v>
      </c>
      <c r="H334" s="4">
        <v>6</v>
      </c>
      <c r="I334" s="4">
        <v>61</v>
      </c>
      <c r="J334" s="2" t="str">
        <f t="shared" si="10"/>
        <v>High Cost</v>
      </c>
      <c r="K334" s="2" t="str">
        <f t="shared" si="11"/>
        <v>Child</v>
      </c>
    </row>
    <row r="335" spans="1:11" x14ac:dyDescent="0.25">
      <c r="A335" s="4" t="s">
        <v>359</v>
      </c>
      <c r="B335" s="4" t="s">
        <v>15</v>
      </c>
      <c r="C335" s="4" t="s">
        <v>12</v>
      </c>
      <c r="D335" s="4" t="s">
        <v>18</v>
      </c>
      <c r="E335" s="4" t="s">
        <v>9</v>
      </c>
      <c r="F335" s="4">
        <v>67</v>
      </c>
      <c r="G335" s="8">
        <v>184096</v>
      </c>
      <c r="H335" s="4">
        <v>21</v>
      </c>
      <c r="I335" s="4">
        <v>69</v>
      </c>
      <c r="J335" s="2" t="str">
        <f t="shared" si="10"/>
        <v>High Cost</v>
      </c>
      <c r="K335" s="2" t="str">
        <f t="shared" si="11"/>
        <v>Senior</v>
      </c>
    </row>
    <row r="336" spans="1:11" x14ac:dyDescent="0.25">
      <c r="A336" s="4" t="s">
        <v>360</v>
      </c>
      <c r="B336" s="4" t="s">
        <v>10</v>
      </c>
      <c r="C336" s="4" t="s">
        <v>19</v>
      </c>
      <c r="D336" s="4" t="s">
        <v>16</v>
      </c>
      <c r="E336" s="4" t="s">
        <v>9</v>
      </c>
      <c r="F336" s="4">
        <v>62</v>
      </c>
      <c r="G336" s="8">
        <v>190730</v>
      </c>
      <c r="H336" s="4">
        <v>21</v>
      </c>
      <c r="I336" s="4">
        <v>86</v>
      </c>
      <c r="J336" s="2" t="str">
        <f t="shared" si="10"/>
        <v>High Cost</v>
      </c>
      <c r="K336" s="2" t="str">
        <f t="shared" si="11"/>
        <v>Senior</v>
      </c>
    </row>
    <row r="337" spans="1:11" x14ac:dyDescent="0.25">
      <c r="A337" s="4" t="s">
        <v>361</v>
      </c>
      <c r="B337" s="4" t="s">
        <v>36</v>
      </c>
      <c r="C337" s="4" t="s">
        <v>19</v>
      </c>
      <c r="D337" s="4" t="s">
        <v>24</v>
      </c>
      <c r="E337" s="4" t="s">
        <v>9</v>
      </c>
      <c r="F337" s="4">
        <v>56</v>
      </c>
      <c r="G337" s="8">
        <v>25263</v>
      </c>
      <c r="H337" s="4">
        <v>26</v>
      </c>
      <c r="I337" s="4">
        <v>65</v>
      </c>
      <c r="J337" s="2" t="str">
        <f t="shared" si="10"/>
        <v>Low Cost</v>
      </c>
      <c r="K337" s="2" t="str">
        <f t="shared" si="11"/>
        <v>Middle-aged</v>
      </c>
    </row>
    <row r="338" spans="1:11" x14ac:dyDescent="0.25">
      <c r="A338" s="4" t="s">
        <v>362</v>
      </c>
      <c r="B338" s="4" t="s">
        <v>10</v>
      </c>
      <c r="C338" s="4" t="s">
        <v>12</v>
      </c>
      <c r="D338" s="4" t="s">
        <v>11</v>
      </c>
      <c r="E338" s="4" t="s">
        <v>9</v>
      </c>
      <c r="F338" s="4">
        <v>19</v>
      </c>
      <c r="G338" s="8">
        <v>187719</v>
      </c>
      <c r="H338" s="4">
        <v>9</v>
      </c>
      <c r="I338" s="4">
        <v>84</v>
      </c>
      <c r="J338" s="2" t="str">
        <f t="shared" si="10"/>
        <v>High Cost</v>
      </c>
      <c r="K338" s="2" t="str">
        <f t="shared" si="11"/>
        <v>Teenager</v>
      </c>
    </row>
    <row r="339" spans="1:11" x14ac:dyDescent="0.25">
      <c r="A339" s="4" t="s">
        <v>363</v>
      </c>
      <c r="B339" s="4" t="s">
        <v>26</v>
      </c>
      <c r="C339" s="4" t="s">
        <v>12</v>
      </c>
      <c r="D339" s="4" t="s">
        <v>31</v>
      </c>
      <c r="E339" s="4" t="s">
        <v>14</v>
      </c>
      <c r="F339" s="4">
        <v>56</v>
      </c>
      <c r="G339" s="8">
        <v>181256</v>
      </c>
      <c r="H339" s="4">
        <v>30</v>
      </c>
      <c r="I339" s="4">
        <v>83</v>
      </c>
      <c r="J339" s="2" t="str">
        <f t="shared" si="10"/>
        <v>High Cost</v>
      </c>
      <c r="K339" s="2" t="str">
        <f t="shared" si="11"/>
        <v>Middle-aged</v>
      </c>
    </row>
    <row r="340" spans="1:11" x14ac:dyDescent="0.25">
      <c r="A340" s="4" t="s">
        <v>364</v>
      </c>
      <c r="B340" s="4" t="s">
        <v>23</v>
      </c>
      <c r="C340" s="4" t="s">
        <v>19</v>
      </c>
      <c r="D340" s="4" t="s">
        <v>24</v>
      </c>
      <c r="E340" s="4" t="s">
        <v>14</v>
      </c>
      <c r="F340" s="4">
        <v>47</v>
      </c>
      <c r="G340" s="8">
        <v>57246</v>
      </c>
      <c r="H340" s="4">
        <v>10</v>
      </c>
      <c r="I340" s="4">
        <v>70</v>
      </c>
      <c r="J340" s="2" t="str">
        <f t="shared" si="10"/>
        <v>Low Cost</v>
      </c>
      <c r="K340" s="2" t="str">
        <f t="shared" si="11"/>
        <v>Middle-aged</v>
      </c>
    </row>
    <row r="341" spans="1:11" x14ac:dyDescent="0.25">
      <c r="A341" s="4" t="s">
        <v>365</v>
      </c>
      <c r="B341" s="4" t="s">
        <v>26</v>
      </c>
      <c r="C341" s="4" t="s">
        <v>12</v>
      </c>
      <c r="D341" s="4" t="s">
        <v>31</v>
      </c>
      <c r="E341" s="4" t="s">
        <v>14</v>
      </c>
      <c r="F341" s="4">
        <v>82</v>
      </c>
      <c r="G341" s="8">
        <v>52888</v>
      </c>
      <c r="H341" s="4">
        <v>17</v>
      </c>
      <c r="I341" s="4">
        <v>65</v>
      </c>
      <c r="J341" s="2" t="str">
        <f t="shared" si="10"/>
        <v>Low Cost</v>
      </c>
      <c r="K341" s="2" t="str">
        <f t="shared" si="11"/>
        <v>Elderly</v>
      </c>
    </row>
    <row r="342" spans="1:11" x14ac:dyDescent="0.25">
      <c r="A342" s="4" t="s">
        <v>366</v>
      </c>
      <c r="B342" s="4" t="s">
        <v>10</v>
      </c>
      <c r="C342" s="4" t="s">
        <v>19</v>
      </c>
      <c r="D342" s="4" t="s">
        <v>24</v>
      </c>
      <c r="E342" s="4" t="s">
        <v>14</v>
      </c>
      <c r="F342" s="4">
        <v>23</v>
      </c>
      <c r="G342" s="8">
        <v>193694</v>
      </c>
      <c r="H342" s="4">
        <v>20</v>
      </c>
      <c r="I342" s="4">
        <v>75</v>
      </c>
      <c r="J342" s="2" t="str">
        <f t="shared" si="10"/>
        <v>High Cost</v>
      </c>
      <c r="K342" s="2" t="str">
        <f t="shared" si="11"/>
        <v>Young Adult</v>
      </c>
    </row>
    <row r="343" spans="1:11" x14ac:dyDescent="0.25">
      <c r="A343" s="4" t="s">
        <v>367</v>
      </c>
      <c r="B343" s="4" t="s">
        <v>10</v>
      </c>
      <c r="C343" s="4" t="s">
        <v>27</v>
      </c>
      <c r="D343" s="4" t="s">
        <v>24</v>
      </c>
      <c r="E343" s="4" t="s">
        <v>9</v>
      </c>
      <c r="F343" s="4">
        <v>1</v>
      </c>
      <c r="G343" s="8">
        <v>21928</v>
      </c>
      <c r="H343" s="4">
        <v>6</v>
      </c>
      <c r="I343" s="4">
        <v>91</v>
      </c>
      <c r="J343" s="2" t="str">
        <f t="shared" si="10"/>
        <v>Low Cost</v>
      </c>
      <c r="K343" s="2" t="str">
        <f t="shared" si="11"/>
        <v>Infant / Toddler</v>
      </c>
    </row>
    <row r="344" spans="1:11" x14ac:dyDescent="0.25">
      <c r="A344" s="4" t="s">
        <v>368</v>
      </c>
      <c r="B344" s="4" t="s">
        <v>23</v>
      </c>
      <c r="C344" s="4" t="s">
        <v>32</v>
      </c>
      <c r="D344" s="4" t="s">
        <v>18</v>
      </c>
      <c r="E344" s="4" t="s">
        <v>14</v>
      </c>
      <c r="F344" s="4">
        <v>85</v>
      </c>
      <c r="G344" s="8">
        <v>119629</v>
      </c>
      <c r="H344" s="4">
        <v>9</v>
      </c>
      <c r="I344" s="4">
        <v>78</v>
      </c>
      <c r="J344" s="2" t="str">
        <f t="shared" si="10"/>
        <v>High Cost</v>
      </c>
      <c r="K344" s="2" t="str">
        <f t="shared" si="11"/>
        <v>Elderly</v>
      </c>
    </row>
    <row r="345" spans="1:11" x14ac:dyDescent="0.25">
      <c r="A345" s="4" t="s">
        <v>369</v>
      </c>
      <c r="B345" s="4" t="s">
        <v>36</v>
      </c>
      <c r="C345" s="4" t="s">
        <v>32</v>
      </c>
      <c r="D345" s="4" t="s">
        <v>11</v>
      </c>
      <c r="E345" s="4" t="s">
        <v>9</v>
      </c>
      <c r="F345" s="4">
        <v>15</v>
      </c>
      <c r="G345" s="8">
        <v>81778</v>
      </c>
      <c r="H345" s="4">
        <v>8</v>
      </c>
      <c r="I345" s="4">
        <v>66</v>
      </c>
      <c r="J345" s="2" t="str">
        <f t="shared" si="10"/>
        <v>Low Cost</v>
      </c>
      <c r="K345" s="2" t="str">
        <f t="shared" si="11"/>
        <v>Teenager</v>
      </c>
    </row>
    <row r="346" spans="1:11" x14ac:dyDescent="0.25">
      <c r="A346" s="4" t="s">
        <v>370</v>
      </c>
      <c r="B346" s="4" t="s">
        <v>26</v>
      </c>
      <c r="C346" s="4" t="s">
        <v>12</v>
      </c>
      <c r="D346" s="4" t="s">
        <v>18</v>
      </c>
      <c r="E346" s="4" t="s">
        <v>41</v>
      </c>
      <c r="F346" s="4">
        <v>61</v>
      </c>
      <c r="G346" s="8">
        <v>26556</v>
      </c>
      <c r="H346" s="4">
        <v>12</v>
      </c>
      <c r="I346" s="4">
        <v>54</v>
      </c>
      <c r="J346" s="2" t="str">
        <f t="shared" si="10"/>
        <v>Low Cost</v>
      </c>
      <c r="K346" s="2" t="str">
        <f t="shared" si="11"/>
        <v>Senior</v>
      </c>
    </row>
    <row r="347" spans="1:11" x14ac:dyDescent="0.25">
      <c r="A347" s="4" t="s">
        <v>371</v>
      </c>
      <c r="B347" s="4" t="s">
        <v>36</v>
      </c>
      <c r="C347" s="4" t="s">
        <v>27</v>
      </c>
      <c r="D347" s="4" t="s">
        <v>24</v>
      </c>
      <c r="E347" s="4" t="s">
        <v>14</v>
      </c>
      <c r="F347" s="4">
        <v>48</v>
      </c>
      <c r="G347" s="8">
        <v>157592</v>
      </c>
      <c r="H347" s="4">
        <v>20</v>
      </c>
      <c r="I347" s="4">
        <v>74</v>
      </c>
      <c r="J347" s="2" t="str">
        <f t="shared" si="10"/>
        <v>High Cost</v>
      </c>
      <c r="K347" s="2" t="str">
        <f t="shared" si="11"/>
        <v>Middle-aged</v>
      </c>
    </row>
    <row r="348" spans="1:11" x14ac:dyDescent="0.25">
      <c r="A348" s="4" t="s">
        <v>372</v>
      </c>
      <c r="B348" s="4" t="s">
        <v>26</v>
      </c>
      <c r="C348" s="4" t="s">
        <v>32</v>
      </c>
      <c r="D348" s="4" t="s">
        <v>24</v>
      </c>
      <c r="E348" s="4" t="s">
        <v>9</v>
      </c>
      <c r="F348" s="4">
        <v>24</v>
      </c>
      <c r="G348" s="8">
        <v>181531</v>
      </c>
      <c r="H348" s="4">
        <v>6</v>
      </c>
      <c r="I348" s="4">
        <v>67</v>
      </c>
      <c r="J348" s="2" t="str">
        <f t="shared" si="10"/>
        <v>High Cost</v>
      </c>
      <c r="K348" s="2" t="str">
        <f t="shared" si="11"/>
        <v>Young Adult</v>
      </c>
    </row>
    <row r="349" spans="1:11" x14ac:dyDescent="0.25">
      <c r="A349" s="4" t="s">
        <v>373</v>
      </c>
      <c r="B349" s="4" t="s">
        <v>23</v>
      </c>
      <c r="C349" s="4" t="s">
        <v>12</v>
      </c>
      <c r="D349" s="4" t="s">
        <v>24</v>
      </c>
      <c r="E349" s="4" t="s">
        <v>9</v>
      </c>
      <c r="F349" s="4">
        <v>37</v>
      </c>
      <c r="G349" s="8">
        <v>58766</v>
      </c>
      <c r="H349" s="4">
        <v>13</v>
      </c>
      <c r="I349" s="4">
        <v>69</v>
      </c>
      <c r="J349" s="2" t="str">
        <f t="shared" si="10"/>
        <v>Low Cost</v>
      </c>
      <c r="K349" s="2" t="str">
        <f t="shared" si="11"/>
        <v>Adult</v>
      </c>
    </row>
    <row r="350" spans="1:11" x14ac:dyDescent="0.25">
      <c r="A350" s="4" t="s">
        <v>374</v>
      </c>
      <c r="B350" s="4" t="s">
        <v>21</v>
      </c>
      <c r="C350" s="4" t="s">
        <v>19</v>
      </c>
      <c r="D350" s="4" t="s">
        <v>11</v>
      </c>
      <c r="E350" s="4" t="s">
        <v>9</v>
      </c>
      <c r="F350" s="4">
        <v>26</v>
      </c>
      <c r="G350" s="8">
        <v>19771</v>
      </c>
      <c r="H350" s="4">
        <v>28</v>
      </c>
      <c r="I350" s="4">
        <v>61</v>
      </c>
      <c r="J350" s="2" t="str">
        <f t="shared" si="10"/>
        <v>Low Cost</v>
      </c>
      <c r="K350" s="2" t="str">
        <f t="shared" si="11"/>
        <v>Young Adult</v>
      </c>
    </row>
    <row r="351" spans="1:11" x14ac:dyDescent="0.25">
      <c r="A351" s="4" t="s">
        <v>375</v>
      </c>
      <c r="B351" s="4" t="s">
        <v>10</v>
      </c>
      <c r="C351" s="4" t="s">
        <v>19</v>
      </c>
      <c r="D351" s="4" t="s">
        <v>24</v>
      </c>
      <c r="E351" s="4" t="s">
        <v>9</v>
      </c>
      <c r="F351" s="4">
        <v>22</v>
      </c>
      <c r="G351" s="8">
        <v>47326</v>
      </c>
      <c r="H351" s="4">
        <v>19</v>
      </c>
      <c r="I351" s="4">
        <v>86</v>
      </c>
      <c r="J351" s="2" t="str">
        <f t="shared" si="10"/>
        <v>Low Cost</v>
      </c>
      <c r="K351" s="2" t="str">
        <f t="shared" si="11"/>
        <v>Young Adult</v>
      </c>
    </row>
    <row r="352" spans="1:11" x14ac:dyDescent="0.25">
      <c r="A352" s="4" t="s">
        <v>376</v>
      </c>
      <c r="B352" s="4" t="s">
        <v>10</v>
      </c>
      <c r="C352" s="4" t="s">
        <v>12</v>
      </c>
      <c r="D352" s="4" t="s">
        <v>11</v>
      </c>
      <c r="E352" s="4" t="s">
        <v>9</v>
      </c>
      <c r="F352" s="4">
        <v>43</v>
      </c>
      <c r="G352" s="8">
        <v>152821</v>
      </c>
      <c r="H352" s="4">
        <v>9</v>
      </c>
      <c r="I352" s="4">
        <v>65</v>
      </c>
      <c r="J352" s="2" t="str">
        <f t="shared" si="10"/>
        <v>High Cost</v>
      </c>
      <c r="K352" s="2" t="str">
        <f t="shared" si="11"/>
        <v>Adult</v>
      </c>
    </row>
    <row r="353" spans="1:11" x14ac:dyDescent="0.25">
      <c r="A353" s="4" t="s">
        <v>377</v>
      </c>
      <c r="B353" s="4" t="s">
        <v>15</v>
      </c>
      <c r="C353" s="4" t="s">
        <v>12</v>
      </c>
      <c r="D353" s="4" t="s">
        <v>16</v>
      </c>
      <c r="E353" s="4" t="s">
        <v>9</v>
      </c>
      <c r="F353" s="4">
        <v>10</v>
      </c>
      <c r="G353" s="8">
        <v>149923</v>
      </c>
      <c r="H353" s="4">
        <v>17</v>
      </c>
      <c r="I353" s="4">
        <v>58</v>
      </c>
      <c r="J353" s="2" t="str">
        <f t="shared" si="10"/>
        <v>High Cost</v>
      </c>
      <c r="K353" s="2" t="str">
        <f t="shared" si="11"/>
        <v>Child</v>
      </c>
    </row>
    <row r="354" spans="1:11" x14ac:dyDescent="0.25">
      <c r="A354" s="4" t="s">
        <v>378</v>
      </c>
      <c r="B354" s="4" t="s">
        <v>23</v>
      </c>
      <c r="C354" s="4" t="s">
        <v>19</v>
      </c>
      <c r="D354" s="4" t="s">
        <v>31</v>
      </c>
      <c r="E354" s="4" t="s">
        <v>9</v>
      </c>
      <c r="F354" s="4">
        <v>59</v>
      </c>
      <c r="G354" s="8">
        <v>134074</v>
      </c>
      <c r="H354" s="4">
        <v>18</v>
      </c>
      <c r="I354" s="4">
        <v>91</v>
      </c>
      <c r="J354" s="2" t="str">
        <f t="shared" si="10"/>
        <v>High Cost</v>
      </c>
      <c r="K354" s="2" t="str">
        <f t="shared" si="11"/>
        <v>Middle-aged</v>
      </c>
    </row>
    <row r="355" spans="1:11" x14ac:dyDescent="0.25">
      <c r="A355" s="4" t="s">
        <v>379</v>
      </c>
      <c r="B355" s="4" t="s">
        <v>10</v>
      </c>
      <c r="C355" s="4" t="s">
        <v>32</v>
      </c>
      <c r="D355" s="4" t="s">
        <v>18</v>
      </c>
      <c r="E355" s="4" t="s">
        <v>14</v>
      </c>
      <c r="F355" s="4">
        <v>35</v>
      </c>
      <c r="G355" s="8">
        <v>159259</v>
      </c>
      <c r="H355" s="4">
        <v>8</v>
      </c>
      <c r="I355" s="4">
        <v>69</v>
      </c>
      <c r="J355" s="2" t="str">
        <f t="shared" si="10"/>
        <v>High Cost</v>
      </c>
      <c r="K355" s="2" t="str">
        <f t="shared" si="11"/>
        <v>Adult</v>
      </c>
    </row>
    <row r="356" spans="1:11" x14ac:dyDescent="0.25">
      <c r="A356" s="4" t="s">
        <v>380</v>
      </c>
      <c r="B356" s="4" t="s">
        <v>26</v>
      </c>
      <c r="C356" s="4" t="s">
        <v>19</v>
      </c>
      <c r="D356" s="4" t="s">
        <v>16</v>
      </c>
      <c r="E356" s="4" t="s">
        <v>14</v>
      </c>
      <c r="F356" s="4">
        <v>14</v>
      </c>
      <c r="G356" s="8">
        <v>181933</v>
      </c>
      <c r="H356" s="4">
        <v>9</v>
      </c>
      <c r="I356" s="4">
        <v>74</v>
      </c>
      <c r="J356" s="2" t="str">
        <f t="shared" si="10"/>
        <v>High Cost</v>
      </c>
      <c r="K356" s="2" t="str">
        <f t="shared" si="11"/>
        <v>Teenager</v>
      </c>
    </row>
    <row r="357" spans="1:11" x14ac:dyDescent="0.25">
      <c r="A357" s="4" t="s">
        <v>381</v>
      </c>
      <c r="B357" s="4" t="s">
        <v>15</v>
      </c>
      <c r="C357" s="4" t="s">
        <v>32</v>
      </c>
      <c r="D357" s="4" t="s">
        <v>31</v>
      </c>
      <c r="E357" s="4" t="s">
        <v>9</v>
      </c>
      <c r="F357" s="4">
        <v>46</v>
      </c>
      <c r="G357" s="8">
        <v>156183</v>
      </c>
      <c r="H357" s="4">
        <v>14</v>
      </c>
      <c r="I357" s="4">
        <v>54</v>
      </c>
      <c r="J357" s="2" t="str">
        <f t="shared" si="10"/>
        <v>High Cost</v>
      </c>
      <c r="K357" s="2" t="str">
        <f t="shared" si="11"/>
        <v>Middle-aged</v>
      </c>
    </row>
    <row r="358" spans="1:11" x14ac:dyDescent="0.25">
      <c r="A358" s="4" t="s">
        <v>382</v>
      </c>
      <c r="B358" s="4" t="s">
        <v>36</v>
      </c>
      <c r="C358" s="4" t="s">
        <v>27</v>
      </c>
      <c r="D358" s="4" t="s">
        <v>16</v>
      </c>
      <c r="E358" s="4" t="s">
        <v>9</v>
      </c>
      <c r="F358" s="4">
        <v>29</v>
      </c>
      <c r="G358" s="8">
        <v>23318</v>
      </c>
      <c r="H358" s="4">
        <v>23</v>
      </c>
      <c r="I358" s="4">
        <v>94</v>
      </c>
      <c r="J358" s="2" t="str">
        <f t="shared" si="10"/>
        <v>Low Cost</v>
      </c>
      <c r="K358" s="2" t="str">
        <f t="shared" si="11"/>
        <v>Young Adult</v>
      </c>
    </row>
    <row r="359" spans="1:11" x14ac:dyDescent="0.25">
      <c r="A359" s="4" t="s">
        <v>383</v>
      </c>
      <c r="B359" s="4" t="s">
        <v>36</v>
      </c>
      <c r="C359" s="4" t="s">
        <v>19</v>
      </c>
      <c r="D359" s="4" t="s">
        <v>18</v>
      </c>
      <c r="E359" s="4" t="s">
        <v>9</v>
      </c>
      <c r="F359" s="4">
        <v>65</v>
      </c>
      <c r="G359" s="8">
        <v>153155</v>
      </c>
      <c r="H359" s="4">
        <v>26</v>
      </c>
      <c r="I359" s="4">
        <v>74</v>
      </c>
      <c r="J359" s="2" t="str">
        <f t="shared" si="10"/>
        <v>High Cost</v>
      </c>
      <c r="K359" s="2" t="str">
        <f t="shared" si="11"/>
        <v>Senior</v>
      </c>
    </row>
    <row r="360" spans="1:11" x14ac:dyDescent="0.25">
      <c r="A360" s="4" t="s">
        <v>384</v>
      </c>
      <c r="B360" s="4" t="s">
        <v>10</v>
      </c>
      <c r="C360" s="4" t="s">
        <v>27</v>
      </c>
      <c r="D360" s="4" t="s">
        <v>24</v>
      </c>
      <c r="E360" s="4" t="s">
        <v>14</v>
      </c>
      <c r="F360" s="4">
        <v>58</v>
      </c>
      <c r="G360" s="8">
        <v>106069</v>
      </c>
      <c r="H360" s="4">
        <v>25</v>
      </c>
      <c r="I360" s="4">
        <v>54</v>
      </c>
      <c r="J360" s="2" t="str">
        <f t="shared" si="10"/>
        <v>High Cost</v>
      </c>
      <c r="K360" s="2" t="str">
        <f t="shared" si="11"/>
        <v>Middle-aged</v>
      </c>
    </row>
    <row r="361" spans="1:11" x14ac:dyDescent="0.25">
      <c r="A361" s="4" t="s">
        <v>385</v>
      </c>
      <c r="B361" s="4" t="s">
        <v>36</v>
      </c>
      <c r="C361" s="4" t="s">
        <v>19</v>
      </c>
      <c r="D361" s="4" t="s">
        <v>11</v>
      </c>
      <c r="E361" s="4" t="s">
        <v>14</v>
      </c>
      <c r="F361" s="4">
        <v>14</v>
      </c>
      <c r="G361" s="8">
        <v>181631</v>
      </c>
      <c r="H361" s="4">
        <v>9</v>
      </c>
      <c r="I361" s="4">
        <v>90</v>
      </c>
      <c r="J361" s="2" t="str">
        <f t="shared" si="10"/>
        <v>High Cost</v>
      </c>
      <c r="K361" s="2" t="str">
        <f t="shared" si="11"/>
        <v>Teenager</v>
      </c>
    </row>
    <row r="362" spans="1:11" x14ac:dyDescent="0.25">
      <c r="A362" s="4" t="s">
        <v>386</v>
      </c>
      <c r="B362" s="4" t="s">
        <v>23</v>
      </c>
      <c r="C362" s="4" t="s">
        <v>32</v>
      </c>
      <c r="D362" s="4" t="s">
        <v>11</v>
      </c>
      <c r="E362" s="4" t="s">
        <v>14</v>
      </c>
      <c r="F362" s="4">
        <v>16</v>
      </c>
      <c r="G362" s="8">
        <v>61847</v>
      </c>
      <c r="H362" s="4">
        <v>24</v>
      </c>
      <c r="I362" s="4">
        <v>60</v>
      </c>
      <c r="J362" s="2" t="str">
        <f t="shared" si="10"/>
        <v>Low Cost</v>
      </c>
      <c r="K362" s="2" t="str">
        <f t="shared" si="11"/>
        <v>Teenager</v>
      </c>
    </row>
    <row r="363" spans="1:11" x14ac:dyDescent="0.25">
      <c r="A363" s="4" t="s">
        <v>387</v>
      </c>
      <c r="B363" s="4" t="s">
        <v>36</v>
      </c>
      <c r="C363" s="4" t="s">
        <v>12</v>
      </c>
      <c r="D363" s="4" t="s">
        <v>31</v>
      </c>
      <c r="E363" s="4" t="s">
        <v>14</v>
      </c>
      <c r="F363" s="4">
        <v>50</v>
      </c>
      <c r="G363" s="8">
        <v>87560</v>
      </c>
      <c r="H363" s="4">
        <v>17</v>
      </c>
      <c r="I363" s="4">
        <v>69</v>
      </c>
      <c r="J363" s="2" t="str">
        <f t="shared" si="10"/>
        <v>Low Cost</v>
      </c>
      <c r="K363" s="2" t="str">
        <f t="shared" si="11"/>
        <v>Middle-aged</v>
      </c>
    </row>
    <row r="364" spans="1:11" x14ac:dyDescent="0.25">
      <c r="A364" s="4" t="s">
        <v>388</v>
      </c>
      <c r="B364" s="4" t="s">
        <v>36</v>
      </c>
      <c r="C364" s="4" t="s">
        <v>12</v>
      </c>
      <c r="D364" s="4" t="s">
        <v>24</v>
      </c>
      <c r="E364" s="4" t="s">
        <v>14</v>
      </c>
      <c r="F364" s="4">
        <v>5</v>
      </c>
      <c r="G364" s="8">
        <v>144599</v>
      </c>
      <c r="H364" s="4">
        <v>5</v>
      </c>
      <c r="I364" s="4">
        <v>94</v>
      </c>
      <c r="J364" s="2" t="str">
        <f t="shared" si="10"/>
        <v>High Cost</v>
      </c>
      <c r="K364" s="2" t="str">
        <f t="shared" si="11"/>
        <v>Infant / Toddler</v>
      </c>
    </row>
    <row r="365" spans="1:11" x14ac:dyDescent="0.25">
      <c r="A365" s="4" t="s">
        <v>389</v>
      </c>
      <c r="B365" s="4" t="s">
        <v>26</v>
      </c>
      <c r="C365" s="4" t="s">
        <v>12</v>
      </c>
      <c r="D365" s="4" t="s">
        <v>24</v>
      </c>
      <c r="E365" s="4" t="s">
        <v>9</v>
      </c>
      <c r="F365" s="4">
        <v>54</v>
      </c>
      <c r="G365" s="8">
        <v>79495</v>
      </c>
      <c r="H365" s="4">
        <v>6</v>
      </c>
      <c r="I365" s="4">
        <v>80</v>
      </c>
      <c r="J365" s="2" t="str">
        <f t="shared" si="10"/>
        <v>Low Cost</v>
      </c>
      <c r="K365" s="2" t="str">
        <f t="shared" si="11"/>
        <v>Middle-aged</v>
      </c>
    </row>
    <row r="366" spans="1:11" x14ac:dyDescent="0.25">
      <c r="A366" s="4" t="s">
        <v>390</v>
      </c>
      <c r="B366" s="4" t="s">
        <v>21</v>
      </c>
      <c r="C366" s="4" t="s">
        <v>32</v>
      </c>
      <c r="D366" s="4" t="s">
        <v>18</v>
      </c>
      <c r="E366" s="4" t="s">
        <v>14</v>
      </c>
      <c r="F366" s="4">
        <v>80</v>
      </c>
      <c r="G366" s="8">
        <v>169243</v>
      </c>
      <c r="H366" s="4">
        <v>9</v>
      </c>
      <c r="I366" s="4">
        <v>78</v>
      </c>
      <c r="J366" s="2" t="str">
        <f t="shared" si="10"/>
        <v>High Cost</v>
      </c>
      <c r="K366" s="2" t="str">
        <f t="shared" si="11"/>
        <v>Elderly</v>
      </c>
    </row>
    <row r="367" spans="1:11" x14ac:dyDescent="0.25">
      <c r="A367" s="4" t="s">
        <v>391</v>
      </c>
      <c r="B367" s="4" t="s">
        <v>23</v>
      </c>
      <c r="C367" s="4" t="s">
        <v>32</v>
      </c>
      <c r="D367" s="4" t="s">
        <v>18</v>
      </c>
      <c r="E367" s="4" t="s">
        <v>9</v>
      </c>
      <c r="F367" s="4">
        <v>64</v>
      </c>
      <c r="G367" s="8">
        <v>149582</v>
      </c>
      <c r="H367" s="4">
        <v>22</v>
      </c>
      <c r="I367" s="4">
        <v>70</v>
      </c>
      <c r="J367" s="2" t="str">
        <f t="shared" si="10"/>
        <v>High Cost</v>
      </c>
      <c r="K367" s="2" t="str">
        <f t="shared" si="11"/>
        <v>Senior</v>
      </c>
    </row>
    <row r="368" spans="1:11" x14ac:dyDescent="0.25">
      <c r="A368" s="4" t="s">
        <v>392</v>
      </c>
      <c r="B368" s="4" t="s">
        <v>10</v>
      </c>
      <c r="C368" s="4" t="s">
        <v>27</v>
      </c>
      <c r="D368" s="4" t="s">
        <v>11</v>
      </c>
      <c r="E368" s="4" t="s">
        <v>9</v>
      </c>
      <c r="F368" s="4">
        <v>60</v>
      </c>
      <c r="G368" s="8">
        <v>191088</v>
      </c>
      <c r="H368" s="4">
        <v>17</v>
      </c>
      <c r="I368" s="4">
        <v>85</v>
      </c>
      <c r="J368" s="2" t="str">
        <f t="shared" si="10"/>
        <v>High Cost</v>
      </c>
      <c r="K368" s="2" t="str">
        <f t="shared" si="11"/>
        <v>Senior</v>
      </c>
    </row>
    <row r="369" spans="1:11" x14ac:dyDescent="0.25">
      <c r="A369" s="4" t="s">
        <v>393</v>
      </c>
      <c r="B369" s="4" t="s">
        <v>10</v>
      </c>
      <c r="C369" s="4" t="s">
        <v>19</v>
      </c>
      <c r="D369" s="4" t="s">
        <v>31</v>
      </c>
      <c r="E369" s="4" t="s">
        <v>9</v>
      </c>
      <c r="F369" s="4">
        <v>85</v>
      </c>
      <c r="G369" s="8">
        <v>41379</v>
      </c>
      <c r="H369" s="4">
        <v>3</v>
      </c>
      <c r="I369" s="4">
        <v>93</v>
      </c>
      <c r="J369" s="2" t="str">
        <f t="shared" si="10"/>
        <v>Low Cost</v>
      </c>
      <c r="K369" s="2" t="str">
        <f t="shared" si="11"/>
        <v>Elderly</v>
      </c>
    </row>
    <row r="370" spans="1:11" x14ac:dyDescent="0.25">
      <c r="A370" s="4" t="s">
        <v>394</v>
      </c>
      <c r="B370" s="4" t="s">
        <v>21</v>
      </c>
      <c r="C370" s="4" t="s">
        <v>12</v>
      </c>
      <c r="D370" s="4" t="s">
        <v>31</v>
      </c>
      <c r="E370" s="4" t="s">
        <v>14</v>
      </c>
      <c r="F370" s="4">
        <v>48</v>
      </c>
      <c r="G370" s="8">
        <v>23602</v>
      </c>
      <c r="H370" s="4">
        <v>21</v>
      </c>
      <c r="I370" s="4">
        <v>89</v>
      </c>
      <c r="J370" s="2" t="str">
        <f t="shared" si="10"/>
        <v>Low Cost</v>
      </c>
      <c r="K370" s="2" t="str">
        <f t="shared" si="11"/>
        <v>Middle-aged</v>
      </c>
    </row>
    <row r="371" spans="1:11" x14ac:dyDescent="0.25">
      <c r="A371" s="4" t="s">
        <v>395</v>
      </c>
      <c r="B371" s="4" t="s">
        <v>15</v>
      </c>
      <c r="C371" s="4" t="s">
        <v>12</v>
      </c>
      <c r="D371" s="4" t="s">
        <v>18</v>
      </c>
      <c r="E371" s="4" t="s">
        <v>14</v>
      </c>
      <c r="F371" s="4">
        <v>57</v>
      </c>
      <c r="G371" s="8">
        <v>67873</v>
      </c>
      <c r="H371" s="4">
        <v>26</v>
      </c>
      <c r="I371" s="4">
        <v>60</v>
      </c>
      <c r="J371" s="2" t="str">
        <f t="shared" si="10"/>
        <v>Low Cost</v>
      </c>
      <c r="K371" s="2" t="str">
        <f t="shared" si="11"/>
        <v>Middle-aged</v>
      </c>
    </row>
    <row r="372" spans="1:11" x14ac:dyDescent="0.25">
      <c r="A372" s="4" t="s">
        <v>396</v>
      </c>
      <c r="B372" s="4" t="s">
        <v>21</v>
      </c>
      <c r="C372" s="4" t="s">
        <v>32</v>
      </c>
      <c r="D372" s="4" t="s">
        <v>24</v>
      </c>
      <c r="E372" s="4" t="s">
        <v>14</v>
      </c>
      <c r="F372" s="4">
        <v>49</v>
      </c>
      <c r="G372" s="8">
        <v>76814</v>
      </c>
      <c r="H372" s="4">
        <v>30</v>
      </c>
      <c r="I372" s="4">
        <v>68</v>
      </c>
      <c r="J372" s="2" t="str">
        <f t="shared" si="10"/>
        <v>Low Cost</v>
      </c>
      <c r="K372" s="2" t="str">
        <f t="shared" si="11"/>
        <v>Middle-aged</v>
      </c>
    </row>
    <row r="373" spans="1:11" x14ac:dyDescent="0.25">
      <c r="A373" s="4" t="s">
        <v>397</v>
      </c>
      <c r="B373" s="4" t="s">
        <v>10</v>
      </c>
      <c r="C373" s="4" t="s">
        <v>27</v>
      </c>
      <c r="D373" s="4" t="s">
        <v>18</v>
      </c>
      <c r="E373" s="4" t="s">
        <v>14</v>
      </c>
      <c r="F373" s="4">
        <v>30</v>
      </c>
      <c r="G373" s="8">
        <v>131142</v>
      </c>
      <c r="H373" s="4">
        <v>6</v>
      </c>
      <c r="I373" s="4">
        <v>58</v>
      </c>
      <c r="J373" s="2" t="str">
        <f t="shared" si="10"/>
        <v>High Cost</v>
      </c>
      <c r="K373" s="2" t="str">
        <f t="shared" si="11"/>
        <v>Adult</v>
      </c>
    </row>
    <row r="374" spans="1:11" x14ac:dyDescent="0.25">
      <c r="A374" s="4" t="s">
        <v>398</v>
      </c>
      <c r="B374" s="4" t="s">
        <v>26</v>
      </c>
      <c r="C374" s="4" t="s">
        <v>32</v>
      </c>
      <c r="D374" s="4" t="s">
        <v>16</v>
      </c>
      <c r="E374" s="4" t="s">
        <v>9</v>
      </c>
      <c r="F374" s="4">
        <v>67</v>
      </c>
      <c r="G374" s="8">
        <v>33841</v>
      </c>
      <c r="H374" s="4">
        <v>18</v>
      </c>
      <c r="I374" s="4">
        <v>93</v>
      </c>
      <c r="J374" s="2" t="str">
        <f t="shared" si="10"/>
        <v>Low Cost</v>
      </c>
      <c r="K374" s="2" t="str">
        <f t="shared" si="11"/>
        <v>Senior</v>
      </c>
    </row>
    <row r="375" spans="1:11" x14ac:dyDescent="0.25">
      <c r="A375" s="4" t="s">
        <v>399</v>
      </c>
      <c r="B375" s="4" t="s">
        <v>36</v>
      </c>
      <c r="C375" s="4" t="s">
        <v>27</v>
      </c>
      <c r="D375" s="4" t="s">
        <v>11</v>
      </c>
      <c r="E375" s="4" t="s">
        <v>14</v>
      </c>
      <c r="F375" s="4">
        <v>50</v>
      </c>
      <c r="G375" s="8">
        <v>67378</v>
      </c>
      <c r="H375" s="4">
        <v>24</v>
      </c>
      <c r="I375" s="4">
        <v>83</v>
      </c>
      <c r="J375" s="2" t="str">
        <f t="shared" si="10"/>
        <v>Low Cost</v>
      </c>
      <c r="K375" s="2" t="str">
        <f t="shared" si="11"/>
        <v>Middle-aged</v>
      </c>
    </row>
    <row r="376" spans="1:11" x14ac:dyDescent="0.25">
      <c r="A376" s="4" t="s">
        <v>400</v>
      </c>
      <c r="B376" s="4" t="s">
        <v>26</v>
      </c>
      <c r="C376" s="4" t="s">
        <v>27</v>
      </c>
      <c r="D376" s="4" t="s">
        <v>31</v>
      </c>
      <c r="E376" s="4" t="s">
        <v>9</v>
      </c>
      <c r="F376" s="4">
        <v>49</v>
      </c>
      <c r="G376" s="8">
        <v>94732</v>
      </c>
      <c r="H376" s="4">
        <v>25</v>
      </c>
      <c r="I376" s="4">
        <v>86</v>
      </c>
      <c r="J376" s="2" t="str">
        <f t="shared" si="10"/>
        <v>Low Cost</v>
      </c>
      <c r="K376" s="2" t="str">
        <f t="shared" si="11"/>
        <v>Middle-aged</v>
      </c>
    </row>
    <row r="377" spans="1:11" x14ac:dyDescent="0.25">
      <c r="A377" s="4" t="s">
        <v>401</v>
      </c>
      <c r="B377" s="4" t="s">
        <v>26</v>
      </c>
      <c r="C377" s="4" t="s">
        <v>19</v>
      </c>
      <c r="D377" s="4" t="s">
        <v>18</v>
      </c>
      <c r="E377" s="4" t="s">
        <v>14</v>
      </c>
      <c r="F377" s="4">
        <v>77</v>
      </c>
      <c r="G377" s="8">
        <v>76004</v>
      </c>
      <c r="H377" s="4">
        <v>5</v>
      </c>
      <c r="I377" s="4">
        <v>79</v>
      </c>
      <c r="J377" s="2" t="str">
        <f t="shared" si="10"/>
        <v>Low Cost</v>
      </c>
      <c r="K377" s="2" t="str">
        <f t="shared" si="11"/>
        <v>Elderly</v>
      </c>
    </row>
    <row r="378" spans="1:11" x14ac:dyDescent="0.25">
      <c r="A378" s="4" t="s">
        <v>402</v>
      </c>
      <c r="B378" s="4" t="s">
        <v>23</v>
      </c>
      <c r="C378" s="4" t="s">
        <v>19</v>
      </c>
      <c r="D378" s="4" t="s">
        <v>24</v>
      </c>
      <c r="E378" s="4" t="s">
        <v>14</v>
      </c>
      <c r="F378" s="4">
        <v>45</v>
      </c>
      <c r="G378" s="8">
        <v>32654</v>
      </c>
      <c r="H378" s="4">
        <v>21</v>
      </c>
      <c r="I378" s="4">
        <v>61</v>
      </c>
      <c r="J378" s="2" t="str">
        <f t="shared" si="10"/>
        <v>Low Cost</v>
      </c>
      <c r="K378" s="2" t="str">
        <f t="shared" si="11"/>
        <v>Middle-aged</v>
      </c>
    </row>
    <row r="379" spans="1:11" x14ac:dyDescent="0.25">
      <c r="A379" s="4" t="s">
        <v>403</v>
      </c>
      <c r="B379" s="4" t="s">
        <v>26</v>
      </c>
      <c r="C379" s="4" t="s">
        <v>19</v>
      </c>
      <c r="D379" s="4" t="s">
        <v>16</v>
      </c>
      <c r="E379" s="4" t="s">
        <v>14</v>
      </c>
      <c r="F379" s="4">
        <v>58</v>
      </c>
      <c r="G379" s="8">
        <v>175689</v>
      </c>
      <c r="H379" s="4">
        <v>8</v>
      </c>
      <c r="I379" s="4">
        <v>51</v>
      </c>
      <c r="J379" s="2" t="str">
        <f t="shared" si="10"/>
        <v>High Cost</v>
      </c>
      <c r="K379" s="2" t="str">
        <f t="shared" si="11"/>
        <v>Middle-aged</v>
      </c>
    </row>
    <row r="380" spans="1:11" x14ac:dyDescent="0.25">
      <c r="A380" s="4" t="s">
        <v>404</v>
      </c>
      <c r="B380" s="4" t="s">
        <v>10</v>
      </c>
      <c r="C380" s="4" t="s">
        <v>12</v>
      </c>
      <c r="D380" s="4" t="s">
        <v>24</v>
      </c>
      <c r="E380" s="4" t="s">
        <v>14</v>
      </c>
      <c r="F380" s="4">
        <v>29</v>
      </c>
      <c r="G380" s="8">
        <v>81297</v>
      </c>
      <c r="H380" s="4">
        <v>19</v>
      </c>
      <c r="I380" s="4">
        <v>67</v>
      </c>
      <c r="J380" s="2" t="str">
        <f t="shared" si="10"/>
        <v>Low Cost</v>
      </c>
      <c r="K380" s="2" t="str">
        <f t="shared" si="11"/>
        <v>Young Adult</v>
      </c>
    </row>
    <row r="381" spans="1:11" x14ac:dyDescent="0.25">
      <c r="A381" s="4" t="s">
        <v>405</v>
      </c>
      <c r="B381" s="4" t="s">
        <v>21</v>
      </c>
      <c r="C381" s="4" t="s">
        <v>27</v>
      </c>
      <c r="D381" s="4" t="s">
        <v>18</v>
      </c>
      <c r="E381" s="4" t="s">
        <v>9</v>
      </c>
      <c r="F381" s="4">
        <v>66</v>
      </c>
      <c r="G381" s="8">
        <v>139488</v>
      </c>
      <c r="H381" s="4">
        <v>29</v>
      </c>
      <c r="I381" s="4">
        <v>79</v>
      </c>
      <c r="J381" s="2" t="str">
        <f t="shared" si="10"/>
        <v>High Cost</v>
      </c>
      <c r="K381" s="2" t="str">
        <f t="shared" si="11"/>
        <v>Senior</v>
      </c>
    </row>
    <row r="382" spans="1:11" x14ac:dyDescent="0.25">
      <c r="A382" s="4" t="s">
        <v>406</v>
      </c>
      <c r="B382" s="4" t="s">
        <v>15</v>
      </c>
      <c r="C382" s="4" t="s">
        <v>12</v>
      </c>
      <c r="D382" s="4" t="s">
        <v>31</v>
      </c>
      <c r="E382" s="4" t="s">
        <v>14</v>
      </c>
      <c r="F382" s="4">
        <v>63</v>
      </c>
      <c r="G382" s="8">
        <v>156933</v>
      </c>
      <c r="H382" s="4">
        <v>9</v>
      </c>
      <c r="I382" s="4">
        <v>64</v>
      </c>
      <c r="J382" s="2" t="str">
        <f t="shared" si="10"/>
        <v>High Cost</v>
      </c>
      <c r="K382" s="2" t="str">
        <f t="shared" si="11"/>
        <v>Senior</v>
      </c>
    </row>
    <row r="383" spans="1:11" x14ac:dyDescent="0.25">
      <c r="A383" s="4" t="s">
        <v>407</v>
      </c>
      <c r="B383" s="4" t="s">
        <v>26</v>
      </c>
      <c r="C383" s="4" t="s">
        <v>27</v>
      </c>
      <c r="D383" s="4" t="s">
        <v>18</v>
      </c>
      <c r="E383" s="4" t="s">
        <v>14</v>
      </c>
      <c r="F383" s="4">
        <v>32</v>
      </c>
      <c r="G383" s="8">
        <v>90006</v>
      </c>
      <c r="H383" s="4">
        <v>21</v>
      </c>
      <c r="I383" s="4">
        <v>79</v>
      </c>
      <c r="J383" s="2" t="str">
        <f t="shared" si="10"/>
        <v>Low Cost</v>
      </c>
      <c r="K383" s="2" t="str">
        <f t="shared" si="11"/>
        <v>Adult</v>
      </c>
    </row>
    <row r="384" spans="1:11" x14ac:dyDescent="0.25">
      <c r="A384" s="4" t="s">
        <v>408</v>
      </c>
      <c r="B384" s="4" t="s">
        <v>15</v>
      </c>
      <c r="C384" s="4" t="s">
        <v>12</v>
      </c>
      <c r="D384" s="4" t="s">
        <v>31</v>
      </c>
      <c r="E384" s="4" t="s">
        <v>9</v>
      </c>
      <c r="F384" s="4">
        <v>79</v>
      </c>
      <c r="G384" s="8">
        <v>156222</v>
      </c>
      <c r="H384" s="4">
        <v>10</v>
      </c>
      <c r="I384" s="4">
        <v>58</v>
      </c>
      <c r="J384" s="2" t="str">
        <f t="shared" si="10"/>
        <v>High Cost</v>
      </c>
      <c r="K384" s="2" t="str">
        <f t="shared" si="11"/>
        <v>Elderly</v>
      </c>
    </row>
    <row r="385" spans="1:11" x14ac:dyDescent="0.25">
      <c r="A385" s="4" t="s">
        <v>409</v>
      </c>
      <c r="B385" s="4" t="s">
        <v>21</v>
      </c>
      <c r="C385" s="4" t="s">
        <v>32</v>
      </c>
      <c r="D385" s="4" t="s">
        <v>31</v>
      </c>
      <c r="E385" s="4" t="s">
        <v>14</v>
      </c>
      <c r="F385" s="4">
        <v>43</v>
      </c>
      <c r="G385" s="8">
        <v>100958</v>
      </c>
      <c r="H385" s="4">
        <v>4</v>
      </c>
      <c r="I385" s="4">
        <v>88</v>
      </c>
      <c r="J385" s="2" t="str">
        <f t="shared" si="10"/>
        <v>High Cost</v>
      </c>
      <c r="K385" s="2" t="str">
        <f t="shared" si="11"/>
        <v>Adult</v>
      </c>
    </row>
    <row r="386" spans="1:11" x14ac:dyDescent="0.25">
      <c r="A386" s="4" t="s">
        <v>410</v>
      </c>
      <c r="B386" s="4" t="s">
        <v>21</v>
      </c>
      <c r="C386" s="4" t="s">
        <v>19</v>
      </c>
      <c r="D386" s="4" t="s">
        <v>24</v>
      </c>
      <c r="E386" s="4" t="s">
        <v>14</v>
      </c>
      <c r="F386" s="4">
        <v>83</v>
      </c>
      <c r="G386" s="8">
        <v>120134</v>
      </c>
      <c r="H386" s="4">
        <v>21</v>
      </c>
      <c r="I386" s="4">
        <v>93</v>
      </c>
      <c r="J386" s="2" t="str">
        <f t="shared" si="10"/>
        <v>High Cost</v>
      </c>
      <c r="K386" s="2" t="str">
        <f t="shared" si="11"/>
        <v>Elderly</v>
      </c>
    </row>
    <row r="387" spans="1:11" x14ac:dyDescent="0.25">
      <c r="A387" s="4" t="s">
        <v>411</v>
      </c>
      <c r="B387" s="4" t="s">
        <v>21</v>
      </c>
      <c r="C387" s="4" t="s">
        <v>12</v>
      </c>
      <c r="D387" s="4" t="s">
        <v>24</v>
      </c>
      <c r="E387" s="4" t="s">
        <v>9</v>
      </c>
      <c r="F387" s="4">
        <v>76</v>
      </c>
      <c r="G387" s="8">
        <v>140622</v>
      </c>
      <c r="H387" s="4">
        <v>11</v>
      </c>
      <c r="I387" s="4">
        <v>79</v>
      </c>
      <c r="J387" s="2" t="str">
        <f t="shared" ref="J387:J450" si="12">IF(G387&gt;100000, "High Cost", "Low Cost")</f>
        <v>High Cost</v>
      </c>
      <c r="K387" s="2" t="str">
        <f t="shared" ref="K387:K450" si="13">IF(F387&lt;=5,"Infant / Toddler",IF(F387&lt;=12,"Child",IF(F387&lt;=19,"Teenager",IF(F387&lt;=29,"Young Adult",IF(F387&lt;=44,"Adult",IF(F387&lt;=59,"Middle-aged",IF(F387&lt;=74,"Senior","Elderly")))))))</f>
        <v>Elderly</v>
      </c>
    </row>
    <row r="388" spans="1:11" x14ac:dyDescent="0.25">
      <c r="A388" s="4" t="s">
        <v>412</v>
      </c>
      <c r="B388" s="4" t="s">
        <v>26</v>
      </c>
      <c r="C388" s="4" t="s">
        <v>12</v>
      </c>
      <c r="D388" s="4" t="s">
        <v>18</v>
      </c>
      <c r="E388" s="4" t="s">
        <v>9</v>
      </c>
      <c r="F388" s="4">
        <v>54</v>
      </c>
      <c r="G388" s="8">
        <v>97246</v>
      </c>
      <c r="H388" s="4">
        <v>8</v>
      </c>
      <c r="I388" s="4">
        <v>55</v>
      </c>
      <c r="J388" s="2" t="str">
        <f t="shared" si="12"/>
        <v>Low Cost</v>
      </c>
      <c r="K388" s="2" t="str">
        <f t="shared" si="13"/>
        <v>Middle-aged</v>
      </c>
    </row>
    <row r="389" spans="1:11" x14ac:dyDescent="0.25">
      <c r="A389" s="4" t="s">
        <v>413</v>
      </c>
      <c r="B389" s="4" t="s">
        <v>36</v>
      </c>
      <c r="C389" s="4" t="s">
        <v>12</v>
      </c>
      <c r="D389" s="4" t="s">
        <v>24</v>
      </c>
      <c r="E389" s="4" t="s">
        <v>14</v>
      </c>
      <c r="F389" s="4">
        <v>57</v>
      </c>
      <c r="G389" s="8">
        <v>27151</v>
      </c>
      <c r="H389" s="4">
        <v>16</v>
      </c>
      <c r="I389" s="4">
        <v>52</v>
      </c>
      <c r="J389" s="2" t="str">
        <f t="shared" si="12"/>
        <v>Low Cost</v>
      </c>
      <c r="K389" s="2" t="str">
        <f t="shared" si="13"/>
        <v>Middle-aged</v>
      </c>
    </row>
    <row r="390" spans="1:11" x14ac:dyDescent="0.25">
      <c r="A390" s="4" t="s">
        <v>414</v>
      </c>
      <c r="B390" s="4" t="s">
        <v>10</v>
      </c>
      <c r="C390" s="4" t="s">
        <v>19</v>
      </c>
      <c r="D390" s="4" t="s">
        <v>31</v>
      </c>
      <c r="E390" s="4" t="s">
        <v>14</v>
      </c>
      <c r="F390" s="4">
        <v>26</v>
      </c>
      <c r="G390" s="8">
        <v>67948</v>
      </c>
      <c r="H390" s="4">
        <v>13</v>
      </c>
      <c r="I390" s="4">
        <v>50</v>
      </c>
      <c r="J390" s="2" t="str">
        <f t="shared" si="12"/>
        <v>Low Cost</v>
      </c>
      <c r="K390" s="2" t="str">
        <f t="shared" si="13"/>
        <v>Young Adult</v>
      </c>
    </row>
    <row r="391" spans="1:11" x14ac:dyDescent="0.25">
      <c r="A391" s="4" t="s">
        <v>415</v>
      </c>
      <c r="B391" s="4" t="s">
        <v>26</v>
      </c>
      <c r="C391" s="4" t="s">
        <v>32</v>
      </c>
      <c r="D391" s="4" t="s">
        <v>31</v>
      </c>
      <c r="E391" s="4" t="s">
        <v>14</v>
      </c>
      <c r="F391" s="4">
        <v>60</v>
      </c>
      <c r="G391" s="8">
        <v>188150</v>
      </c>
      <c r="H391" s="4">
        <v>18</v>
      </c>
      <c r="I391" s="4">
        <v>87</v>
      </c>
      <c r="J391" s="2" t="str">
        <f t="shared" si="12"/>
        <v>High Cost</v>
      </c>
      <c r="K391" s="2" t="str">
        <f t="shared" si="13"/>
        <v>Senior</v>
      </c>
    </row>
    <row r="392" spans="1:11" x14ac:dyDescent="0.25">
      <c r="A392" s="4" t="s">
        <v>416</v>
      </c>
      <c r="B392" s="4" t="s">
        <v>10</v>
      </c>
      <c r="C392" s="4" t="s">
        <v>27</v>
      </c>
      <c r="D392" s="4" t="s">
        <v>18</v>
      </c>
      <c r="E392" s="4" t="s">
        <v>14</v>
      </c>
      <c r="F392" s="4">
        <v>20</v>
      </c>
      <c r="G392" s="8">
        <v>47930</v>
      </c>
      <c r="H392" s="4">
        <v>22</v>
      </c>
      <c r="I392" s="4">
        <v>58</v>
      </c>
      <c r="J392" s="2" t="str">
        <f t="shared" si="12"/>
        <v>Low Cost</v>
      </c>
      <c r="K392" s="2" t="str">
        <f t="shared" si="13"/>
        <v>Young Adult</v>
      </c>
    </row>
    <row r="393" spans="1:11" x14ac:dyDescent="0.25">
      <c r="A393" s="4" t="s">
        <v>417</v>
      </c>
      <c r="B393" s="4" t="s">
        <v>36</v>
      </c>
      <c r="C393" s="4" t="s">
        <v>19</v>
      </c>
      <c r="D393" s="4" t="s">
        <v>24</v>
      </c>
      <c r="E393" s="4" t="s">
        <v>9</v>
      </c>
      <c r="F393" s="4">
        <v>50</v>
      </c>
      <c r="G393" s="8">
        <v>128001</v>
      </c>
      <c r="H393" s="4">
        <v>29</v>
      </c>
      <c r="I393" s="4">
        <v>80</v>
      </c>
      <c r="J393" s="2" t="str">
        <f t="shared" si="12"/>
        <v>High Cost</v>
      </c>
      <c r="K393" s="2" t="str">
        <f t="shared" si="13"/>
        <v>Middle-aged</v>
      </c>
    </row>
    <row r="394" spans="1:11" x14ac:dyDescent="0.25">
      <c r="A394" s="4" t="s">
        <v>418</v>
      </c>
      <c r="B394" s="4" t="s">
        <v>36</v>
      </c>
      <c r="C394" s="4" t="s">
        <v>12</v>
      </c>
      <c r="D394" s="4" t="s">
        <v>16</v>
      </c>
      <c r="E394" s="4" t="s">
        <v>14</v>
      </c>
      <c r="F394" s="4">
        <v>60</v>
      </c>
      <c r="G394" s="8">
        <v>136739</v>
      </c>
      <c r="H394" s="4">
        <v>5</v>
      </c>
      <c r="I394" s="4">
        <v>81</v>
      </c>
      <c r="J394" s="2" t="str">
        <f t="shared" si="12"/>
        <v>High Cost</v>
      </c>
      <c r="K394" s="2" t="str">
        <f t="shared" si="13"/>
        <v>Senior</v>
      </c>
    </row>
    <row r="395" spans="1:11" x14ac:dyDescent="0.25">
      <c r="A395" s="4" t="s">
        <v>419</v>
      </c>
      <c r="B395" s="4" t="s">
        <v>36</v>
      </c>
      <c r="C395" s="4" t="s">
        <v>27</v>
      </c>
      <c r="D395" s="4" t="s">
        <v>11</v>
      </c>
      <c r="E395" s="4" t="s">
        <v>9</v>
      </c>
      <c r="F395" s="4">
        <v>20</v>
      </c>
      <c r="G395" s="8">
        <v>148473</v>
      </c>
      <c r="H395" s="4">
        <v>9</v>
      </c>
      <c r="I395" s="4">
        <v>94</v>
      </c>
      <c r="J395" s="2" t="str">
        <f t="shared" si="12"/>
        <v>High Cost</v>
      </c>
      <c r="K395" s="2" t="str">
        <f t="shared" si="13"/>
        <v>Young Adult</v>
      </c>
    </row>
    <row r="396" spans="1:11" x14ac:dyDescent="0.25">
      <c r="A396" s="4" t="s">
        <v>420</v>
      </c>
      <c r="B396" s="4" t="s">
        <v>15</v>
      </c>
      <c r="C396" s="4" t="s">
        <v>19</v>
      </c>
      <c r="D396" s="4" t="s">
        <v>18</v>
      </c>
      <c r="E396" s="4" t="s">
        <v>14</v>
      </c>
      <c r="F396" s="4">
        <v>48</v>
      </c>
      <c r="G396" s="8">
        <v>102470</v>
      </c>
      <c r="H396" s="4">
        <v>9</v>
      </c>
      <c r="I396" s="4">
        <v>86</v>
      </c>
      <c r="J396" s="2" t="str">
        <f t="shared" si="12"/>
        <v>High Cost</v>
      </c>
      <c r="K396" s="2" t="str">
        <f t="shared" si="13"/>
        <v>Middle-aged</v>
      </c>
    </row>
    <row r="397" spans="1:11" x14ac:dyDescent="0.25">
      <c r="A397" s="4" t="s">
        <v>421</v>
      </c>
      <c r="B397" s="4" t="s">
        <v>10</v>
      </c>
      <c r="C397" s="4" t="s">
        <v>32</v>
      </c>
      <c r="D397" s="4" t="s">
        <v>11</v>
      </c>
      <c r="E397" s="4" t="s">
        <v>14</v>
      </c>
      <c r="F397" s="4">
        <v>81</v>
      </c>
      <c r="G397" s="8">
        <v>83830</v>
      </c>
      <c r="H397" s="4">
        <v>28</v>
      </c>
      <c r="I397" s="4">
        <v>60</v>
      </c>
      <c r="J397" s="2" t="str">
        <f t="shared" si="12"/>
        <v>Low Cost</v>
      </c>
      <c r="K397" s="2" t="str">
        <f t="shared" si="13"/>
        <v>Elderly</v>
      </c>
    </row>
    <row r="398" spans="1:11" x14ac:dyDescent="0.25">
      <c r="A398" s="4" t="s">
        <v>422</v>
      </c>
      <c r="B398" s="4" t="s">
        <v>10</v>
      </c>
      <c r="C398" s="4" t="s">
        <v>32</v>
      </c>
      <c r="D398" s="4" t="s">
        <v>11</v>
      </c>
      <c r="E398" s="4" t="s">
        <v>9</v>
      </c>
      <c r="F398" s="4">
        <v>31</v>
      </c>
      <c r="G398" s="8">
        <v>83260</v>
      </c>
      <c r="H398" s="4">
        <v>19</v>
      </c>
      <c r="I398" s="4">
        <v>63</v>
      </c>
      <c r="J398" s="2" t="str">
        <f t="shared" si="12"/>
        <v>Low Cost</v>
      </c>
      <c r="K398" s="2" t="str">
        <f t="shared" si="13"/>
        <v>Adult</v>
      </c>
    </row>
    <row r="399" spans="1:11" x14ac:dyDescent="0.25">
      <c r="A399" s="4" t="s">
        <v>423</v>
      </c>
      <c r="B399" s="4" t="s">
        <v>36</v>
      </c>
      <c r="C399" s="4" t="s">
        <v>32</v>
      </c>
      <c r="D399" s="4" t="s">
        <v>18</v>
      </c>
      <c r="E399" s="4" t="s">
        <v>9</v>
      </c>
      <c r="F399" s="4">
        <v>70</v>
      </c>
      <c r="G399" s="8">
        <v>196005</v>
      </c>
      <c r="H399" s="4">
        <v>4</v>
      </c>
      <c r="I399" s="4">
        <v>77</v>
      </c>
      <c r="J399" s="2" t="str">
        <f t="shared" si="12"/>
        <v>High Cost</v>
      </c>
      <c r="K399" s="2" t="str">
        <f t="shared" si="13"/>
        <v>Senior</v>
      </c>
    </row>
    <row r="400" spans="1:11" x14ac:dyDescent="0.25">
      <c r="A400" s="4" t="s">
        <v>424</v>
      </c>
      <c r="B400" s="4" t="s">
        <v>10</v>
      </c>
      <c r="C400" s="4" t="s">
        <v>27</v>
      </c>
      <c r="D400" s="4" t="s">
        <v>16</v>
      </c>
      <c r="E400" s="4" t="s">
        <v>14</v>
      </c>
      <c r="F400" s="4">
        <v>9</v>
      </c>
      <c r="G400" s="8">
        <v>61841</v>
      </c>
      <c r="H400" s="4">
        <v>3</v>
      </c>
      <c r="I400" s="4">
        <v>85</v>
      </c>
      <c r="J400" s="2" t="str">
        <f t="shared" si="12"/>
        <v>Low Cost</v>
      </c>
      <c r="K400" s="2" t="str">
        <f t="shared" si="13"/>
        <v>Child</v>
      </c>
    </row>
    <row r="401" spans="1:11" x14ac:dyDescent="0.25">
      <c r="A401" s="4" t="s">
        <v>425</v>
      </c>
      <c r="B401" s="4" t="s">
        <v>26</v>
      </c>
      <c r="C401" s="4" t="s">
        <v>27</v>
      </c>
      <c r="D401" s="4" t="s">
        <v>24</v>
      </c>
      <c r="E401" s="4" t="s">
        <v>9</v>
      </c>
      <c r="F401" s="4">
        <v>36</v>
      </c>
      <c r="G401" s="8">
        <v>97651</v>
      </c>
      <c r="H401" s="4">
        <v>22</v>
      </c>
      <c r="I401" s="4">
        <v>84</v>
      </c>
      <c r="J401" s="2" t="str">
        <f t="shared" si="12"/>
        <v>Low Cost</v>
      </c>
      <c r="K401" s="2" t="str">
        <f t="shared" si="13"/>
        <v>Adult</v>
      </c>
    </row>
    <row r="402" spans="1:11" x14ac:dyDescent="0.25">
      <c r="A402" s="4" t="s">
        <v>426</v>
      </c>
      <c r="B402" s="4" t="s">
        <v>21</v>
      </c>
      <c r="C402" s="4" t="s">
        <v>27</v>
      </c>
      <c r="D402" s="4" t="s">
        <v>16</v>
      </c>
      <c r="E402" s="4" t="s">
        <v>9</v>
      </c>
      <c r="F402" s="4">
        <v>84</v>
      </c>
      <c r="G402" s="8">
        <v>144520</v>
      </c>
      <c r="H402" s="4">
        <v>3</v>
      </c>
      <c r="I402" s="4">
        <v>95</v>
      </c>
      <c r="J402" s="2" t="str">
        <f t="shared" si="12"/>
        <v>High Cost</v>
      </c>
      <c r="K402" s="2" t="str">
        <f t="shared" si="13"/>
        <v>Elderly</v>
      </c>
    </row>
    <row r="403" spans="1:11" x14ac:dyDescent="0.25">
      <c r="A403" s="4" t="s">
        <v>427</v>
      </c>
      <c r="B403" s="4" t="s">
        <v>36</v>
      </c>
      <c r="C403" s="4" t="s">
        <v>32</v>
      </c>
      <c r="D403" s="4" t="s">
        <v>16</v>
      </c>
      <c r="E403" s="4" t="s">
        <v>14</v>
      </c>
      <c r="F403" s="4">
        <v>39</v>
      </c>
      <c r="G403" s="8">
        <v>97644</v>
      </c>
      <c r="H403" s="4">
        <v>17</v>
      </c>
      <c r="I403" s="4">
        <v>56</v>
      </c>
      <c r="J403" s="2" t="str">
        <f t="shared" si="12"/>
        <v>Low Cost</v>
      </c>
      <c r="K403" s="2" t="str">
        <f t="shared" si="13"/>
        <v>Adult</v>
      </c>
    </row>
    <row r="404" spans="1:11" x14ac:dyDescent="0.25">
      <c r="A404" s="4" t="s">
        <v>428</v>
      </c>
      <c r="B404" s="4" t="s">
        <v>21</v>
      </c>
      <c r="C404" s="4" t="s">
        <v>32</v>
      </c>
      <c r="D404" s="4" t="s">
        <v>16</v>
      </c>
      <c r="E404" s="4" t="s">
        <v>9</v>
      </c>
      <c r="F404" s="4">
        <v>33</v>
      </c>
      <c r="G404" s="8">
        <v>19450</v>
      </c>
      <c r="H404" s="4">
        <v>6</v>
      </c>
      <c r="I404" s="4">
        <v>95</v>
      </c>
      <c r="J404" s="2" t="str">
        <f t="shared" si="12"/>
        <v>Low Cost</v>
      </c>
      <c r="K404" s="2" t="str">
        <f t="shared" si="13"/>
        <v>Adult</v>
      </c>
    </row>
    <row r="405" spans="1:11" x14ac:dyDescent="0.25">
      <c r="A405" s="4" t="s">
        <v>429</v>
      </c>
      <c r="B405" s="4" t="s">
        <v>26</v>
      </c>
      <c r="C405" s="4" t="s">
        <v>19</v>
      </c>
      <c r="D405" s="4" t="s">
        <v>18</v>
      </c>
      <c r="E405" s="4" t="s">
        <v>9</v>
      </c>
      <c r="F405" s="4">
        <v>79</v>
      </c>
      <c r="G405" s="8">
        <v>120074</v>
      </c>
      <c r="H405" s="4">
        <v>9</v>
      </c>
      <c r="I405" s="4">
        <v>54</v>
      </c>
      <c r="J405" s="2" t="str">
        <f t="shared" si="12"/>
        <v>High Cost</v>
      </c>
      <c r="K405" s="2" t="str">
        <f t="shared" si="13"/>
        <v>Elderly</v>
      </c>
    </row>
    <row r="406" spans="1:11" x14ac:dyDescent="0.25">
      <c r="A406" s="4" t="s">
        <v>430</v>
      </c>
      <c r="B406" s="4" t="s">
        <v>21</v>
      </c>
      <c r="C406" s="4" t="s">
        <v>32</v>
      </c>
      <c r="D406" s="4" t="s">
        <v>11</v>
      </c>
      <c r="E406" s="4" t="s">
        <v>14</v>
      </c>
      <c r="F406" s="4">
        <v>12</v>
      </c>
      <c r="G406" s="8">
        <v>149639</v>
      </c>
      <c r="H406" s="4">
        <v>8</v>
      </c>
      <c r="I406" s="4">
        <v>88</v>
      </c>
      <c r="J406" s="2" t="str">
        <f t="shared" si="12"/>
        <v>High Cost</v>
      </c>
      <c r="K406" s="2" t="str">
        <f t="shared" si="13"/>
        <v>Child</v>
      </c>
    </row>
    <row r="407" spans="1:11" x14ac:dyDescent="0.25">
      <c r="A407" s="4" t="s">
        <v>431</v>
      </c>
      <c r="B407" s="4" t="s">
        <v>21</v>
      </c>
      <c r="C407" s="4" t="s">
        <v>27</v>
      </c>
      <c r="D407" s="4" t="s">
        <v>18</v>
      </c>
      <c r="E407" s="4" t="s">
        <v>14</v>
      </c>
      <c r="F407" s="4">
        <v>2</v>
      </c>
      <c r="G407" s="8">
        <v>59583</v>
      </c>
      <c r="H407" s="4">
        <v>30</v>
      </c>
      <c r="I407" s="4">
        <v>88</v>
      </c>
      <c r="J407" s="2" t="str">
        <f t="shared" si="12"/>
        <v>Low Cost</v>
      </c>
      <c r="K407" s="2" t="str">
        <f t="shared" si="13"/>
        <v>Infant / Toddler</v>
      </c>
    </row>
    <row r="408" spans="1:11" x14ac:dyDescent="0.25">
      <c r="A408" s="4" t="s">
        <v>432</v>
      </c>
      <c r="B408" s="4" t="s">
        <v>26</v>
      </c>
      <c r="C408" s="4" t="s">
        <v>32</v>
      </c>
      <c r="D408" s="4" t="s">
        <v>24</v>
      </c>
      <c r="E408" s="4" t="s">
        <v>9</v>
      </c>
      <c r="F408" s="4">
        <v>43</v>
      </c>
      <c r="G408" s="8">
        <v>146936</v>
      </c>
      <c r="H408" s="4">
        <v>9</v>
      </c>
      <c r="I408" s="4">
        <v>77</v>
      </c>
      <c r="J408" s="2" t="str">
        <f t="shared" si="12"/>
        <v>High Cost</v>
      </c>
      <c r="K408" s="2" t="str">
        <f t="shared" si="13"/>
        <v>Adult</v>
      </c>
    </row>
    <row r="409" spans="1:11" x14ac:dyDescent="0.25">
      <c r="A409" s="4" t="s">
        <v>433</v>
      </c>
      <c r="B409" s="4" t="s">
        <v>15</v>
      </c>
      <c r="C409" s="4" t="s">
        <v>12</v>
      </c>
      <c r="D409" s="4" t="s">
        <v>11</v>
      </c>
      <c r="E409" s="4" t="s">
        <v>14</v>
      </c>
      <c r="F409" s="4">
        <v>42</v>
      </c>
      <c r="G409" s="8">
        <v>135598</v>
      </c>
      <c r="H409" s="4">
        <v>15</v>
      </c>
      <c r="I409" s="4">
        <v>57</v>
      </c>
      <c r="J409" s="2" t="str">
        <f t="shared" si="12"/>
        <v>High Cost</v>
      </c>
      <c r="K409" s="2" t="str">
        <f t="shared" si="13"/>
        <v>Adult</v>
      </c>
    </row>
    <row r="410" spans="1:11" x14ac:dyDescent="0.25">
      <c r="A410" s="4" t="s">
        <v>434</v>
      </c>
      <c r="B410" s="4" t="s">
        <v>21</v>
      </c>
      <c r="C410" s="4" t="s">
        <v>19</v>
      </c>
      <c r="D410" s="4" t="s">
        <v>18</v>
      </c>
      <c r="E410" s="4" t="s">
        <v>14</v>
      </c>
      <c r="F410" s="4">
        <v>21</v>
      </c>
      <c r="G410" s="8">
        <v>199301</v>
      </c>
      <c r="H410" s="4">
        <v>28</v>
      </c>
      <c r="I410" s="4">
        <v>82</v>
      </c>
      <c r="J410" s="2" t="str">
        <f t="shared" si="12"/>
        <v>High Cost</v>
      </c>
      <c r="K410" s="2" t="str">
        <f t="shared" si="13"/>
        <v>Young Adult</v>
      </c>
    </row>
    <row r="411" spans="1:11" x14ac:dyDescent="0.25">
      <c r="A411" s="4" t="s">
        <v>435</v>
      </c>
      <c r="B411" s="4" t="s">
        <v>15</v>
      </c>
      <c r="C411" s="4" t="s">
        <v>27</v>
      </c>
      <c r="D411" s="4" t="s">
        <v>11</v>
      </c>
      <c r="E411" s="4" t="s">
        <v>9</v>
      </c>
      <c r="F411" s="4">
        <v>65</v>
      </c>
      <c r="G411" s="8">
        <v>118731</v>
      </c>
      <c r="H411" s="4">
        <v>19</v>
      </c>
      <c r="I411" s="4">
        <v>61</v>
      </c>
      <c r="J411" s="2" t="str">
        <f t="shared" si="12"/>
        <v>High Cost</v>
      </c>
      <c r="K411" s="2" t="str">
        <f t="shared" si="13"/>
        <v>Senior</v>
      </c>
    </row>
    <row r="412" spans="1:11" x14ac:dyDescent="0.25">
      <c r="A412" s="4" t="s">
        <v>436</v>
      </c>
      <c r="B412" s="4" t="s">
        <v>15</v>
      </c>
      <c r="C412" s="4" t="s">
        <v>19</v>
      </c>
      <c r="D412" s="4" t="s">
        <v>24</v>
      </c>
      <c r="E412" s="4" t="s">
        <v>14</v>
      </c>
      <c r="F412" s="4">
        <v>75</v>
      </c>
      <c r="G412" s="8">
        <v>86217</v>
      </c>
      <c r="H412" s="4">
        <v>24</v>
      </c>
      <c r="I412" s="4">
        <v>72</v>
      </c>
      <c r="J412" s="2" t="str">
        <f t="shared" si="12"/>
        <v>Low Cost</v>
      </c>
      <c r="K412" s="2" t="str">
        <f t="shared" si="13"/>
        <v>Elderly</v>
      </c>
    </row>
    <row r="413" spans="1:11" x14ac:dyDescent="0.25">
      <c r="A413" s="4" t="s">
        <v>437</v>
      </c>
      <c r="B413" s="4" t="s">
        <v>21</v>
      </c>
      <c r="C413" s="4" t="s">
        <v>12</v>
      </c>
      <c r="D413" s="4" t="s">
        <v>18</v>
      </c>
      <c r="E413" s="4" t="s">
        <v>9</v>
      </c>
      <c r="F413" s="4">
        <v>61</v>
      </c>
      <c r="G413" s="8">
        <v>128287</v>
      </c>
      <c r="H413" s="4">
        <v>10</v>
      </c>
      <c r="I413" s="4">
        <v>78</v>
      </c>
      <c r="J413" s="2" t="str">
        <f t="shared" si="12"/>
        <v>High Cost</v>
      </c>
      <c r="K413" s="2" t="str">
        <f t="shared" si="13"/>
        <v>Senior</v>
      </c>
    </row>
    <row r="414" spans="1:11" x14ac:dyDescent="0.25">
      <c r="A414" s="4" t="s">
        <v>438</v>
      </c>
      <c r="B414" s="4" t="s">
        <v>26</v>
      </c>
      <c r="C414" s="4" t="s">
        <v>19</v>
      </c>
      <c r="D414" s="4" t="s">
        <v>16</v>
      </c>
      <c r="E414" s="4" t="s">
        <v>14</v>
      </c>
      <c r="F414" s="4">
        <v>66</v>
      </c>
      <c r="G414" s="8">
        <v>33292</v>
      </c>
      <c r="H414" s="4">
        <v>24</v>
      </c>
      <c r="I414" s="4">
        <v>60</v>
      </c>
      <c r="J414" s="2" t="str">
        <f t="shared" si="12"/>
        <v>Low Cost</v>
      </c>
      <c r="K414" s="2" t="str">
        <f t="shared" si="13"/>
        <v>Senior</v>
      </c>
    </row>
    <row r="415" spans="1:11" x14ac:dyDescent="0.25">
      <c r="A415" s="4" t="s">
        <v>439</v>
      </c>
      <c r="B415" s="4" t="s">
        <v>10</v>
      </c>
      <c r="C415" s="4" t="s">
        <v>27</v>
      </c>
      <c r="D415" s="4" t="s">
        <v>16</v>
      </c>
      <c r="E415" s="4" t="s">
        <v>9</v>
      </c>
      <c r="F415" s="4">
        <v>31</v>
      </c>
      <c r="G415" s="8">
        <v>147520</v>
      </c>
      <c r="H415" s="4">
        <v>18</v>
      </c>
      <c r="I415" s="4">
        <v>64</v>
      </c>
      <c r="J415" s="2" t="str">
        <f t="shared" si="12"/>
        <v>High Cost</v>
      </c>
      <c r="K415" s="2" t="str">
        <f t="shared" si="13"/>
        <v>Adult</v>
      </c>
    </row>
    <row r="416" spans="1:11" x14ac:dyDescent="0.25">
      <c r="A416" s="4" t="s">
        <v>440</v>
      </c>
      <c r="B416" s="4" t="s">
        <v>23</v>
      </c>
      <c r="C416" s="4" t="s">
        <v>27</v>
      </c>
      <c r="D416" s="4" t="s">
        <v>16</v>
      </c>
      <c r="E416" s="4" t="s">
        <v>14</v>
      </c>
      <c r="F416" s="4">
        <v>17</v>
      </c>
      <c r="G416" s="8">
        <v>133252</v>
      </c>
      <c r="H416" s="4">
        <v>8</v>
      </c>
      <c r="I416" s="4">
        <v>82</v>
      </c>
      <c r="J416" s="2" t="str">
        <f t="shared" si="12"/>
        <v>High Cost</v>
      </c>
      <c r="K416" s="2" t="str">
        <f t="shared" si="13"/>
        <v>Teenager</v>
      </c>
    </row>
    <row r="417" spans="1:11" x14ac:dyDescent="0.25">
      <c r="A417" s="4" t="s">
        <v>441</v>
      </c>
      <c r="B417" s="4" t="s">
        <v>26</v>
      </c>
      <c r="C417" s="4" t="s">
        <v>12</v>
      </c>
      <c r="D417" s="4" t="s">
        <v>18</v>
      </c>
      <c r="E417" s="4" t="s">
        <v>9</v>
      </c>
      <c r="F417" s="4">
        <v>32</v>
      </c>
      <c r="G417" s="8">
        <v>80181</v>
      </c>
      <c r="H417" s="4">
        <v>12</v>
      </c>
      <c r="I417" s="4">
        <v>60</v>
      </c>
      <c r="J417" s="2" t="str">
        <f t="shared" si="12"/>
        <v>Low Cost</v>
      </c>
      <c r="K417" s="2" t="str">
        <f t="shared" si="13"/>
        <v>Adult</v>
      </c>
    </row>
    <row r="418" spans="1:11" x14ac:dyDescent="0.25">
      <c r="A418" s="4" t="s">
        <v>442</v>
      </c>
      <c r="B418" s="4" t="s">
        <v>15</v>
      </c>
      <c r="C418" s="4" t="s">
        <v>19</v>
      </c>
      <c r="D418" s="4" t="s">
        <v>11</v>
      </c>
      <c r="E418" s="4" t="s">
        <v>9</v>
      </c>
      <c r="F418" s="4">
        <v>78</v>
      </c>
      <c r="G418" s="8">
        <v>131595</v>
      </c>
      <c r="H418" s="4">
        <v>6</v>
      </c>
      <c r="I418" s="4">
        <v>85</v>
      </c>
      <c r="J418" s="2" t="str">
        <f t="shared" si="12"/>
        <v>High Cost</v>
      </c>
      <c r="K418" s="2" t="str">
        <f t="shared" si="13"/>
        <v>Elderly</v>
      </c>
    </row>
    <row r="419" spans="1:11" x14ac:dyDescent="0.25">
      <c r="A419" s="4" t="s">
        <v>443</v>
      </c>
      <c r="B419" s="4" t="s">
        <v>21</v>
      </c>
      <c r="C419" s="4" t="s">
        <v>19</v>
      </c>
      <c r="D419" s="4" t="s">
        <v>18</v>
      </c>
      <c r="E419" s="4" t="s">
        <v>14</v>
      </c>
      <c r="F419" s="4">
        <v>78</v>
      </c>
      <c r="G419" s="8">
        <v>33183</v>
      </c>
      <c r="H419" s="4">
        <v>10</v>
      </c>
      <c r="I419" s="4">
        <v>72</v>
      </c>
      <c r="J419" s="2" t="str">
        <f t="shared" si="12"/>
        <v>Low Cost</v>
      </c>
      <c r="K419" s="2" t="str">
        <f t="shared" si="13"/>
        <v>Elderly</v>
      </c>
    </row>
    <row r="420" spans="1:11" x14ac:dyDescent="0.25">
      <c r="A420" s="4" t="s">
        <v>444</v>
      </c>
      <c r="B420" s="4" t="s">
        <v>21</v>
      </c>
      <c r="C420" s="4" t="s">
        <v>32</v>
      </c>
      <c r="D420" s="4" t="s">
        <v>11</v>
      </c>
      <c r="E420" s="4" t="s">
        <v>9</v>
      </c>
      <c r="F420" s="4">
        <v>85</v>
      </c>
      <c r="G420" s="8">
        <v>132055</v>
      </c>
      <c r="H420" s="4">
        <v>21</v>
      </c>
      <c r="I420" s="4">
        <v>50</v>
      </c>
      <c r="J420" s="2" t="str">
        <f t="shared" si="12"/>
        <v>High Cost</v>
      </c>
      <c r="K420" s="2" t="str">
        <f t="shared" si="13"/>
        <v>Elderly</v>
      </c>
    </row>
    <row r="421" spans="1:11" x14ac:dyDescent="0.25">
      <c r="A421" s="4" t="s">
        <v>445</v>
      </c>
      <c r="B421" s="4" t="s">
        <v>10</v>
      </c>
      <c r="C421" s="4" t="s">
        <v>32</v>
      </c>
      <c r="D421" s="4" t="s">
        <v>24</v>
      </c>
      <c r="E421" s="4" t="s">
        <v>9</v>
      </c>
      <c r="F421" s="4">
        <v>29</v>
      </c>
      <c r="G421" s="8">
        <v>24692</v>
      </c>
      <c r="H421" s="4">
        <v>25</v>
      </c>
      <c r="I421" s="4">
        <v>64</v>
      </c>
      <c r="J421" s="2" t="str">
        <f t="shared" si="12"/>
        <v>Low Cost</v>
      </c>
      <c r="K421" s="2" t="str">
        <f t="shared" si="13"/>
        <v>Young Adult</v>
      </c>
    </row>
    <row r="422" spans="1:11" x14ac:dyDescent="0.25">
      <c r="A422" s="4" t="s">
        <v>446</v>
      </c>
      <c r="B422" s="4" t="s">
        <v>21</v>
      </c>
      <c r="C422" s="4" t="s">
        <v>32</v>
      </c>
      <c r="D422" s="4" t="s">
        <v>24</v>
      </c>
      <c r="E422" s="4" t="s">
        <v>14</v>
      </c>
      <c r="F422" s="4">
        <v>42</v>
      </c>
      <c r="G422" s="8">
        <v>193775</v>
      </c>
      <c r="H422" s="4">
        <v>10</v>
      </c>
      <c r="I422" s="4">
        <v>95</v>
      </c>
      <c r="J422" s="2" t="str">
        <f t="shared" si="12"/>
        <v>High Cost</v>
      </c>
      <c r="K422" s="2" t="str">
        <f t="shared" si="13"/>
        <v>Adult</v>
      </c>
    </row>
    <row r="423" spans="1:11" x14ac:dyDescent="0.25">
      <c r="A423" s="4" t="s">
        <v>447</v>
      </c>
      <c r="B423" s="4" t="s">
        <v>23</v>
      </c>
      <c r="C423" s="4" t="s">
        <v>12</v>
      </c>
      <c r="D423" s="4" t="s">
        <v>16</v>
      </c>
      <c r="E423" s="4" t="s">
        <v>14</v>
      </c>
      <c r="F423" s="4">
        <v>17</v>
      </c>
      <c r="G423" s="8">
        <v>161448</v>
      </c>
      <c r="H423" s="4">
        <v>19</v>
      </c>
      <c r="I423" s="4">
        <v>80</v>
      </c>
      <c r="J423" s="2" t="str">
        <f t="shared" si="12"/>
        <v>High Cost</v>
      </c>
      <c r="K423" s="2" t="str">
        <f t="shared" si="13"/>
        <v>Teenager</v>
      </c>
    </row>
    <row r="424" spans="1:11" x14ac:dyDescent="0.25">
      <c r="A424" s="4" t="s">
        <v>448</v>
      </c>
      <c r="B424" s="4" t="s">
        <v>26</v>
      </c>
      <c r="C424" s="4" t="s">
        <v>32</v>
      </c>
      <c r="D424" s="4" t="s">
        <v>16</v>
      </c>
      <c r="E424" s="4" t="s">
        <v>14</v>
      </c>
      <c r="F424" s="4">
        <v>18</v>
      </c>
      <c r="G424" s="8">
        <v>118508</v>
      </c>
      <c r="H424" s="4">
        <v>14</v>
      </c>
      <c r="I424" s="4">
        <v>92</v>
      </c>
      <c r="J424" s="2" t="str">
        <f t="shared" si="12"/>
        <v>High Cost</v>
      </c>
      <c r="K424" s="2" t="str">
        <f t="shared" si="13"/>
        <v>Teenager</v>
      </c>
    </row>
    <row r="425" spans="1:11" x14ac:dyDescent="0.25">
      <c r="A425" s="4" t="s">
        <v>449</v>
      </c>
      <c r="B425" s="4" t="s">
        <v>23</v>
      </c>
      <c r="C425" s="4" t="s">
        <v>12</v>
      </c>
      <c r="D425" s="4" t="s">
        <v>11</v>
      </c>
      <c r="E425" s="4" t="s">
        <v>9</v>
      </c>
      <c r="F425" s="4">
        <v>66</v>
      </c>
      <c r="G425" s="8">
        <v>75097</v>
      </c>
      <c r="H425" s="4">
        <v>17</v>
      </c>
      <c r="I425" s="4">
        <v>53</v>
      </c>
      <c r="J425" s="2" t="str">
        <f t="shared" si="12"/>
        <v>Low Cost</v>
      </c>
      <c r="K425" s="2" t="str">
        <f t="shared" si="13"/>
        <v>Senior</v>
      </c>
    </row>
    <row r="426" spans="1:11" x14ac:dyDescent="0.25">
      <c r="A426" s="4" t="s">
        <v>450</v>
      </c>
      <c r="B426" s="4" t="s">
        <v>36</v>
      </c>
      <c r="C426" s="4" t="s">
        <v>27</v>
      </c>
      <c r="D426" s="4" t="s">
        <v>11</v>
      </c>
      <c r="E426" s="4" t="s">
        <v>9</v>
      </c>
      <c r="F426" s="4">
        <v>40</v>
      </c>
      <c r="G426" s="8">
        <v>69677</v>
      </c>
      <c r="H426" s="4">
        <v>4</v>
      </c>
      <c r="I426" s="4">
        <v>58</v>
      </c>
      <c r="J426" s="2" t="str">
        <f t="shared" si="12"/>
        <v>Low Cost</v>
      </c>
      <c r="K426" s="2" t="str">
        <f t="shared" si="13"/>
        <v>Adult</v>
      </c>
    </row>
    <row r="427" spans="1:11" x14ac:dyDescent="0.25">
      <c r="A427" s="4" t="s">
        <v>451</v>
      </c>
      <c r="B427" s="4" t="s">
        <v>10</v>
      </c>
      <c r="C427" s="4" t="s">
        <v>12</v>
      </c>
      <c r="D427" s="4" t="s">
        <v>31</v>
      </c>
      <c r="E427" s="4" t="s">
        <v>14</v>
      </c>
      <c r="F427" s="4">
        <v>55</v>
      </c>
      <c r="G427" s="8">
        <v>33295</v>
      </c>
      <c r="H427" s="4">
        <v>17</v>
      </c>
      <c r="I427" s="4">
        <v>69</v>
      </c>
      <c r="J427" s="2" t="str">
        <f t="shared" si="12"/>
        <v>Low Cost</v>
      </c>
      <c r="K427" s="2" t="str">
        <f t="shared" si="13"/>
        <v>Middle-aged</v>
      </c>
    </row>
    <row r="428" spans="1:11" x14ac:dyDescent="0.25">
      <c r="A428" s="4" t="s">
        <v>452</v>
      </c>
      <c r="B428" s="4" t="s">
        <v>21</v>
      </c>
      <c r="C428" s="4" t="s">
        <v>19</v>
      </c>
      <c r="D428" s="4" t="s">
        <v>24</v>
      </c>
      <c r="E428" s="4" t="s">
        <v>14</v>
      </c>
      <c r="F428" s="4">
        <v>67</v>
      </c>
      <c r="G428" s="8">
        <v>67264</v>
      </c>
      <c r="H428" s="4">
        <v>26</v>
      </c>
      <c r="I428" s="4">
        <v>62</v>
      </c>
      <c r="J428" s="2" t="str">
        <f t="shared" si="12"/>
        <v>Low Cost</v>
      </c>
      <c r="K428" s="2" t="str">
        <f t="shared" si="13"/>
        <v>Senior</v>
      </c>
    </row>
    <row r="429" spans="1:11" x14ac:dyDescent="0.25">
      <c r="A429" s="4" t="s">
        <v>453</v>
      </c>
      <c r="B429" s="4" t="s">
        <v>26</v>
      </c>
      <c r="C429" s="4" t="s">
        <v>32</v>
      </c>
      <c r="D429" s="4" t="s">
        <v>18</v>
      </c>
      <c r="E429" s="4" t="s">
        <v>9</v>
      </c>
      <c r="F429" s="4">
        <v>8</v>
      </c>
      <c r="G429" s="8">
        <v>122076</v>
      </c>
      <c r="H429" s="4">
        <v>30</v>
      </c>
      <c r="I429" s="4">
        <v>65</v>
      </c>
      <c r="J429" s="2" t="str">
        <f t="shared" si="12"/>
        <v>High Cost</v>
      </c>
      <c r="K429" s="2" t="str">
        <f t="shared" si="13"/>
        <v>Child</v>
      </c>
    </row>
    <row r="430" spans="1:11" x14ac:dyDescent="0.25">
      <c r="A430" s="4" t="s">
        <v>454</v>
      </c>
      <c r="B430" s="4" t="s">
        <v>26</v>
      </c>
      <c r="C430" s="4" t="s">
        <v>12</v>
      </c>
      <c r="D430" s="4" t="s">
        <v>31</v>
      </c>
      <c r="E430" s="4" t="s">
        <v>14</v>
      </c>
      <c r="F430" s="4">
        <v>68</v>
      </c>
      <c r="G430" s="8">
        <v>129818</v>
      </c>
      <c r="H430" s="4">
        <v>11</v>
      </c>
      <c r="I430" s="4">
        <v>70</v>
      </c>
      <c r="J430" s="2" t="str">
        <f t="shared" si="12"/>
        <v>High Cost</v>
      </c>
      <c r="K430" s="2" t="str">
        <f t="shared" si="13"/>
        <v>Senior</v>
      </c>
    </row>
    <row r="431" spans="1:11" x14ac:dyDescent="0.25">
      <c r="A431" s="4" t="s">
        <v>455</v>
      </c>
      <c r="B431" s="4" t="s">
        <v>15</v>
      </c>
      <c r="C431" s="4" t="s">
        <v>19</v>
      </c>
      <c r="D431" s="4" t="s">
        <v>18</v>
      </c>
      <c r="E431" s="4" t="s">
        <v>14</v>
      </c>
      <c r="F431" s="4">
        <v>45</v>
      </c>
      <c r="G431" s="8">
        <v>183926</v>
      </c>
      <c r="H431" s="4">
        <v>15</v>
      </c>
      <c r="I431" s="4">
        <v>53</v>
      </c>
      <c r="J431" s="2" t="str">
        <f t="shared" si="12"/>
        <v>High Cost</v>
      </c>
      <c r="K431" s="2" t="str">
        <f t="shared" si="13"/>
        <v>Middle-aged</v>
      </c>
    </row>
    <row r="432" spans="1:11" x14ac:dyDescent="0.25">
      <c r="A432" s="4" t="s">
        <v>456</v>
      </c>
      <c r="B432" s="4" t="s">
        <v>36</v>
      </c>
      <c r="C432" s="4" t="s">
        <v>19</v>
      </c>
      <c r="D432" s="4" t="s">
        <v>16</v>
      </c>
      <c r="E432" s="4" t="s">
        <v>14</v>
      </c>
      <c r="F432" s="4">
        <v>31</v>
      </c>
      <c r="G432" s="8">
        <v>27557</v>
      </c>
      <c r="H432" s="4">
        <v>15</v>
      </c>
      <c r="I432" s="4">
        <v>89</v>
      </c>
      <c r="J432" s="2" t="str">
        <f t="shared" si="12"/>
        <v>Low Cost</v>
      </c>
      <c r="K432" s="2" t="str">
        <f t="shared" si="13"/>
        <v>Adult</v>
      </c>
    </row>
    <row r="433" spans="1:11" x14ac:dyDescent="0.25">
      <c r="A433" s="4" t="s">
        <v>457</v>
      </c>
      <c r="B433" s="4" t="s">
        <v>21</v>
      </c>
      <c r="C433" s="4" t="s">
        <v>32</v>
      </c>
      <c r="D433" s="4" t="s">
        <v>11</v>
      </c>
      <c r="E433" s="4" t="s">
        <v>9</v>
      </c>
      <c r="F433" s="4">
        <v>56</v>
      </c>
      <c r="G433" s="8">
        <v>164723</v>
      </c>
      <c r="H433" s="4">
        <v>25</v>
      </c>
      <c r="I433" s="4">
        <v>70</v>
      </c>
      <c r="J433" s="2" t="str">
        <f t="shared" si="12"/>
        <v>High Cost</v>
      </c>
      <c r="K433" s="2" t="str">
        <f t="shared" si="13"/>
        <v>Middle-aged</v>
      </c>
    </row>
    <row r="434" spans="1:11" x14ac:dyDescent="0.25">
      <c r="A434" s="4" t="s">
        <v>458</v>
      </c>
      <c r="B434" s="4" t="s">
        <v>26</v>
      </c>
      <c r="C434" s="4" t="s">
        <v>27</v>
      </c>
      <c r="D434" s="4" t="s">
        <v>11</v>
      </c>
      <c r="E434" s="4" t="s">
        <v>14</v>
      </c>
      <c r="F434" s="4">
        <v>8</v>
      </c>
      <c r="G434" s="8">
        <v>148321</v>
      </c>
      <c r="H434" s="4">
        <v>14</v>
      </c>
      <c r="I434" s="4">
        <v>69</v>
      </c>
      <c r="J434" s="2" t="str">
        <f t="shared" si="12"/>
        <v>High Cost</v>
      </c>
      <c r="K434" s="2" t="str">
        <f t="shared" si="13"/>
        <v>Child</v>
      </c>
    </row>
    <row r="435" spans="1:11" x14ac:dyDescent="0.25">
      <c r="A435" s="4" t="s">
        <v>459</v>
      </c>
      <c r="B435" s="4" t="s">
        <v>15</v>
      </c>
      <c r="C435" s="4" t="s">
        <v>27</v>
      </c>
      <c r="D435" s="4" t="s">
        <v>31</v>
      </c>
      <c r="E435" s="4" t="s">
        <v>14</v>
      </c>
      <c r="F435" s="4">
        <v>6</v>
      </c>
      <c r="G435" s="8">
        <v>23641</v>
      </c>
      <c r="H435" s="4">
        <v>29</v>
      </c>
      <c r="I435" s="4">
        <v>74</v>
      </c>
      <c r="J435" s="2" t="str">
        <f t="shared" si="12"/>
        <v>Low Cost</v>
      </c>
      <c r="K435" s="2" t="str">
        <f t="shared" si="13"/>
        <v>Child</v>
      </c>
    </row>
    <row r="436" spans="1:11" x14ac:dyDescent="0.25">
      <c r="A436" s="4" t="s">
        <v>460</v>
      </c>
      <c r="B436" s="4" t="s">
        <v>36</v>
      </c>
      <c r="C436" s="4" t="s">
        <v>27</v>
      </c>
      <c r="D436" s="4" t="s">
        <v>24</v>
      </c>
      <c r="E436" s="4" t="s">
        <v>14</v>
      </c>
      <c r="F436" s="4">
        <v>35</v>
      </c>
      <c r="G436" s="8">
        <v>22930</v>
      </c>
      <c r="H436" s="4">
        <v>20</v>
      </c>
      <c r="I436" s="4">
        <v>74</v>
      </c>
      <c r="J436" s="2" t="str">
        <f t="shared" si="12"/>
        <v>Low Cost</v>
      </c>
      <c r="K436" s="2" t="str">
        <f t="shared" si="13"/>
        <v>Adult</v>
      </c>
    </row>
    <row r="437" spans="1:11" x14ac:dyDescent="0.25">
      <c r="A437" s="4" t="s">
        <v>461</v>
      </c>
      <c r="B437" s="4" t="s">
        <v>21</v>
      </c>
      <c r="C437" s="4" t="s">
        <v>19</v>
      </c>
      <c r="D437" s="4" t="s">
        <v>16</v>
      </c>
      <c r="E437" s="4" t="s">
        <v>9</v>
      </c>
      <c r="F437" s="4">
        <v>70</v>
      </c>
      <c r="G437" s="8">
        <v>57077</v>
      </c>
      <c r="H437" s="4">
        <v>5</v>
      </c>
      <c r="I437" s="4">
        <v>51</v>
      </c>
      <c r="J437" s="2" t="str">
        <f t="shared" si="12"/>
        <v>Low Cost</v>
      </c>
      <c r="K437" s="2" t="str">
        <f t="shared" si="13"/>
        <v>Senior</v>
      </c>
    </row>
    <row r="438" spans="1:11" x14ac:dyDescent="0.25">
      <c r="A438" s="4" t="s">
        <v>462</v>
      </c>
      <c r="B438" s="4" t="s">
        <v>36</v>
      </c>
      <c r="C438" s="4" t="s">
        <v>32</v>
      </c>
      <c r="D438" s="4" t="s">
        <v>24</v>
      </c>
      <c r="E438" s="4" t="s">
        <v>9</v>
      </c>
      <c r="F438" s="4">
        <v>2</v>
      </c>
      <c r="G438" s="8">
        <v>121083</v>
      </c>
      <c r="H438" s="4">
        <v>18</v>
      </c>
      <c r="I438" s="4">
        <v>79</v>
      </c>
      <c r="J438" s="2" t="str">
        <f t="shared" si="12"/>
        <v>High Cost</v>
      </c>
      <c r="K438" s="2" t="str">
        <f t="shared" si="13"/>
        <v>Infant / Toddler</v>
      </c>
    </row>
    <row r="439" spans="1:11" x14ac:dyDescent="0.25">
      <c r="A439" s="4" t="s">
        <v>463</v>
      </c>
      <c r="B439" s="4" t="s">
        <v>21</v>
      </c>
      <c r="C439" s="4" t="s">
        <v>27</v>
      </c>
      <c r="D439" s="4" t="s">
        <v>18</v>
      </c>
      <c r="E439" s="4" t="s">
        <v>41</v>
      </c>
      <c r="F439" s="4">
        <v>57</v>
      </c>
      <c r="G439" s="8">
        <v>190174</v>
      </c>
      <c r="H439" s="4">
        <v>18</v>
      </c>
      <c r="I439" s="4">
        <v>64</v>
      </c>
      <c r="J439" s="2" t="str">
        <f t="shared" si="12"/>
        <v>High Cost</v>
      </c>
      <c r="K439" s="2" t="str">
        <f t="shared" si="13"/>
        <v>Middle-aged</v>
      </c>
    </row>
    <row r="440" spans="1:11" x14ac:dyDescent="0.25">
      <c r="A440" s="4" t="s">
        <v>464</v>
      </c>
      <c r="B440" s="4" t="s">
        <v>10</v>
      </c>
      <c r="C440" s="4" t="s">
        <v>32</v>
      </c>
      <c r="D440" s="4" t="s">
        <v>24</v>
      </c>
      <c r="E440" s="4" t="s">
        <v>14</v>
      </c>
      <c r="F440" s="4">
        <v>41</v>
      </c>
      <c r="G440" s="8">
        <v>198865</v>
      </c>
      <c r="H440" s="4">
        <v>11</v>
      </c>
      <c r="I440" s="4">
        <v>86</v>
      </c>
      <c r="J440" s="2" t="str">
        <f t="shared" si="12"/>
        <v>High Cost</v>
      </c>
      <c r="K440" s="2" t="str">
        <f t="shared" si="13"/>
        <v>Adult</v>
      </c>
    </row>
    <row r="441" spans="1:11" x14ac:dyDescent="0.25">
      <c r="A441" s="4" t="s">
        <v>465</v>
      </c>
      <c r="B441" s="4" t="s">
        <v>23</v>
      </c>
      <c r="C441" s="4" t="s">
        <v>19</v>
      </c>
      <c r="D441" s="4" t="s">
        <v>18</v>
      </c>
      <c r="E441" s="4" t="s">
        <v>14</v>
      </c>
      <c r="F441" s="4">
        <v>9</v>
      </c>
      <c r="G441" s="8">
        <v>125639</v>
      </c>
      <c r="H441" s="4">
        <v>19</v>
      </c>
      <c r="I441" s="4">
        <v>53</v>
      </c>
      <c r="J441" s="2" t="str">
        <f t="shared" si="12"/>
        <v>High Cost</v>
      </c>
      <c r="K441" s="2" t="str">
        <f t="shared" si="13"/>
        <v>Child</v>
      </c>
    </row>
    <row r="442" spans="1:11" x14ac:dyDescent="0.25">
      <c r="A442" s="4" t="s">
        <v>466</v>
      </c>
      <c r="B442" s="4" t="s">
        <v>23</v>
      </c>
      <c r="C442" s="4" t="s">
        <v>32</v>
      </c>
      <c r="D442" s="4" t="s">
        <v>11</v>
      </c>
      <c r="E442" s="4" t="s">
        <v>9</v>
      </c>
      <c r="F442" s="4">
        <v>40</v>
      </c>
      <c r="G442" s="8">
        <v>86768</v>
      </c>
      <c r="H442" s="4">
        <v>15</v>
      </c>
      <c r="I442" s="4">
        <v>79</v>
      </c>
      <c r="J442" s="2" t="str">
        <f t="shared" si="12"/>
        <v>Low Cost</v>
      </c>
      <c r="K442" s="2" t="str">
        <f t="shared" si="13"/>
        <v>Adult</v>
      </c>
    </row>
    <row r="443" spans="1:11" x14ac:dyDescent="0.25">
      <c r="A443" s="4" t="s">
        <v>467</v>
      </c>
      <c r="B443" s="4" t="s">
        <v>23</v>
      </c>
      <c r="C443" s="4" t="s">
        <v>32</v>
      </c>
      <c r="D443" s="4" t="s">
        <v>24</v>
      </c>
      <c r="E443" s="4" t="s">
        <v>9</v>
      </c>
      <c r="F443" s="4">
        <v>78</v>
      </c>
      <c r="G443" s="8">
        <v>108547</v>
      </c>
      <c r="H443" s="4">
        <v>8</v>
      </c>
      <c r="I443" s="4">
        <v>80</v>
      </c>
      <c r="J443" s="2" t="str">
        <f t="shared" si="12"/>
        <v>High Cost</v>
      </c>
      <c r="K443" s="2" t="str">
        <f t="shared" si="13"/>
        <v>Elderly</v>
      </c>
    </row>
    <row r="444" spans="1:11" x14ac:dyDescent="0.25">
      <c r="A444" s="4" t="s">
        <v>468</v>
      </c>
      <c r="B444" s="4" t="s">
        <v>36</v>
      </c>
      <c r="C444" s="4" t="s">
        <v>12</v>
      </c>
      <c r="D444" s="4" t="s">
        <v>24</v>
      </c>
      <c r="E444" s="4" t="s">
        <v>14</v>
      </c>
      <c r="F444" s="4">
        <v>1</v>
      </c>
      <c r="G444" s="8">
        <v>68623</v>
      </c>
      <c r="H444" s="4">
        <v>25</v>
      </c>
      <c r="I444" s="4">
        <v>50</v>
      </c>
      <c r="J444" s="2" t="str">
        <f t="shared" si="12"/>
        <v>Low Cost</v>
      </c>
      <c r="K444" s="2" t="str">
        <f t="shared" si="13"/>
        <v>Infant / Toddler</v>
      </c>
    </row>
    <row r="445" spans="1:11" x14ac:dyDescent="0.25">
      <c r="A445" s="4" t="s">
        <v>469</v>
      </c>
      <c r="B445" s="4" t="s">
        <v>21</v>
      </c>
      <c r="C445" s="4" t="s">
        <v>32</v>
      </c>
      <c r="D445" s="4" t="s">
        <v>11</v>
      </c>
      <c r="E445" s="4" t="s">
        <v>9</v>
      </c>
      <c r="F445" s="4">
        <v>48</v>
      </c>
      <c r="G445" s="8">
        <v>86251</v>
      </c>
      <c r="H445" s="4">
        <v>22</v>
      </c>
      <c r="I445" s="4">
        <v>58</v>
      </c>
      <c r="J445" s="2" t="str">
        <f t="shared" si="12"/>
        <v>Low Cost</v>
      </c>
      <c r="K445" s="2" t="str">
        <f t="shared" si="13"/>
        <v>Middle-aged</v>
      </c>
    </row>
    <row r="446" spans="1:11" x14ac:dyDescent="0.25">
      <c r="A446" s="4" t="s">
        <v>470</v>
      </c>
      <c r="B446" s="4" t="s">
        <v>10</v>
      </c>
      <c r="C446" s="4" t="s">
        <v>19</v>
      </c>
      <c r="D446" s="4" t="s">
        <v>24</v>
      </c>
      <c r="E446" s="4" t="s">
        <v>9</v>
      </c>
      <c r="F446" s="4">
        <v>66</v>
      </c>
      <c r="G446" s="8">
        <v>57254</v>
      </c>
      <c r="H446" s="4">
        <v>22</v>
      </c>
      <c r="I446" s="4">
        <v>93</v>
      </c>
      <c r="J446" s="2" t="str">
        <f t="shared" si="12"/>
        <v>Low Cost</v>
      </c>
      <c r="K446" s="2" t="str">
        <f t="shared" si="13"/>
        <v>Senior</v>
      </c>
    </row>
    <row r="447" spans="1:11" x14ac:dyDescent="0.25">
      <c r="A447" s="4" t="s">
        <v>471</v>
      </c>
      <c r="B447" s="4" t="s">
        <v>23</v>
      </c>
      <c r="C447" s="4" t="s">
        <v>27</v>
      </c>
      <c r="D447" s="4" t="s">
        <v>18</v>
      </c>
      <c r="E447" s="4" t="s">
        <v>9</v>
      </c>
      <c r="F447" s="4">
        <v>71</v>
      </c>
      <c r="G447" s="8">
        <v>196528</v>
      </c>
      <c r="H447" s="4">
        <v>14</v>
      </c>
      <c r="I447" s="4">
        <v>60</v>
      </c>
      <c r="J447" s="2" t="str">
        <f t="shared" si="12"/>
        <v>High Cost</v>
      </c>
      <c r="K447" s="2" t="str">
        <f t="shared" si="13"/>
        <v>Senior</v>
      </c>
    </row>
    <row r="448" spans="1:11" x14ac:dyDescent="0.25">
      <c r="A448" s="4" t="s">
        <v>472</v>
      </c>
      <c r="B448" s="4" t="s">
        <v>10</v>
      </c>
      <c r="C448" s="4" t="s">
        <v>12</v>
      </c>
      <c r="D448" s="4" t="s">
        <v>11</v>
      </c>
      <c r="E448" s="4" t="s">
        <v>9</v>
      </c>
      <c r="F448" s="4">
        <v>25</v>
      </c>
      <c r="G448" s="8">
        <v>36619</v>
      </c>
      <c r="H448" s="4">
        <v>27</v>
      </c>
      <c r="I448" s="4">
        <v>60</v>
      </c>
      <c r="J448" s="2" t="str">
        <f t="shared" si="12"/>
        <v>Low Cost</v>
      </c>
      <c r="K448" s="2" t="str">
        <f t="shared" si="13"/>
        <v>Young Adult</v>
      </c>
    </row>
    <row r="449" spans="1:11" x14ac:dyDescent="0.25">
      <c r="A449" s="4" t="s">
        <v>473</v>
      </c>
      <c r="B449" s="4" t="s">
        <v>21</v>
      </c>
      <c r="C449" s="4" t="s">
        <v>19</v>
      </c>
      <c r="D449" s="4" t="s">
        <v>31</v>
      </c>
      <c r="E449" s="4" t="s">
        <v>9</v>
      </c>
      <c r="F449" s="4">
        <v>78</v>
      </c>
      <c r="G449" s="8">
        <v>108284</v>
      </c>
      <c r="H449" s="4">
        <v>25</v>
      </c>
      <c r="I449" s="4">
        <v>67</v>
      </c>
      <c r="J449" s="2" t="str">
        <f t="shared" si="12"/>
        <v>High Cost</v>
      </c>
      <c r="K449" s="2" t="str">
        <f t="shared" si="13"/>
        <v>Elderly</v>
      </c>
    </row>
    <row r="450" spans="1:11" x14ac:dyDescent="0.25">
      <c r="A450" s="4" t="s">
        <v>474</v>
      </c>
      <c r="B450" s="4" t="s">
        <v>26</v>
      </c>
      <c r="C450" s="4" t="s">
        <v>19</v>
      </c>
      <c r="D450" s="4" t="s">
        <v>31</v>
      </c>
      <c r="E450" s="4" t="s">
        <v>14</v>
      </c>
      <c r="F450" s="4">
        <v>47</v>
      </c>
      <c r="G450" s="8">
        <v>189668</v>
      </c>
      <c r="H450" s="4">
        <v>10</v>
      </c>
      <c r="I450" s="4">
        <v>76</v>
      </c>
      <c r="J450" s="2" t="str">
        <f t="shared" si="12"/>
        <v>High Cost</v>
      </c>
      <c r="K450" s="2" t="str">
        <f t="shared" si="13"/>
        <v>Middle-aged</v>
      </c>
    </row>
    <row r="451" spans="1:11" x14ac:dyDescent="0.25">
      <c r="A451" s="4" t="s">
        <v>475</v>
      </c>
      <c r="B451" s="4" t="s">
        <v>26</v>
      </c>
      <c r="C451" s="4" t="s">
        <v>12</v>
      </c>
      <c r="D451" s="4" t="s">
        <v>31</v>
      </c>
      <c r="E451" s="4" t="s">
        <v>14</v>
      </c>
      <c r="F451" s="4">
        <v>55</v>
      </c>
      <c r="G451" s="8">
        <v>55346</v>
      </c>
      <c r="H451" s="4">
        <v>15</v>
      </c>
      <c r="I451" s="4">
        <v>74</v>
      </c>
      <c r="J451" s="2" t="str">
        <f t="shared" ref="J451:J501" si="14">IF(G451&gt;100000, "High Cost", "Low Cost")</f>
        <v>Low Cost</v>
      </c>
      <c r="K451" s="2" t="str">
        <f t="shared" ref="K451:K501" si="15">IF(F451&lt;=5,"Infant / Toddler",IF(F451&lt;=12,"Child",IF(F451&lt;=19,"Teenager",IF(F451&lt;=29,"Young Adult",IF(F451&lt;=44,"Adult",IF(F451&lt;=59,"Middle-aged",IF(F451&lt;=74,"Senior","Elderly")))))))</f>
        <v>Middle-aged</v>
      </c>
    </row>
    <row r="452" spans="1:11" x14ac:dyDescent="0.25">
      <c r="A452" s="4" t="s">
        <v>476</v>
      </c>
      <c r="B452" s="4" t="s">
        <v>26</v>
      </c>
      <c r="C452" s="4" t="s">
        <v>19</v>
      </c>
      <c r="D452" s="4" t="s">
        <v>16</v>
      </c>
      <c r="E452" s="4" t="s">
        <v>14</v>
      </c>
      <c r="F452" s="4">
        <v>4</v>
      </c>
      <c r="G452" s="8">
        <v>75776</v>
      </c>
      <c r="H452" s="4">
        <v>21</v>
      </c>
      <c r="I452" s="4">
        <v>65</v>
      </c>
      <c r="J452" s="2" t="str">
        <f t="shared" si="14"/>
        <v>Low Cost</v>
      </c>
      <c r="K452" s="2" t="str">
        <f t="shared" si="15"/>
        <v>Infant / Toddler</v>
      </c>
    </row>
    <row r="453" spans="1:11" x14ac:dyDescent="0.25">
      <c r="A453" s="4" t="s">
        <v>477</v>
      </c>
      <c r="B453" s="4" t="s">
        <v>21</v>
      </c>
      <c r="C453" s="4" t="s">
        <v>27</v>
      </c>
      <c r="D453" s="4" t="s">
        <v>31</v>
      </c>
      <c r="E453" s="4" t="s">
        <v>9</v>
      </c>
      <c r="F453" s="4">
        <v>13</v>
      </c>
      <c r="G453" s="8">
        <v>128289</v>
      </c>
      <c r="H453" s="4">
        <v>19</v>
      </c>
      <c r="I453" s="4">
        <v>77</v>
      </c>
      <c r="J453" s="2" t="str">
        <f t="shared" si="14"/>
        <v>High Cost</v>
      </c>
      <c r="K453" s="2" t="str">
        <f t="shared" si="15"/>
        <v>Teenager</v>
      </c>
    </row>
    <row r="454" spans="1:11" x14ac:dyDescent="0.25">
      <c r="A454" s="4" t="s">
        <v>478</v>
      </c>
      <c r="B454" s="4" t="s">
        <v>23</v>
      </c>
      <c r="C454" s="4" t="s">
        <v>27</v>
      </c>
      <c r="D454" s="4" t="s">
        <v>11</v>
      </c>
      <c r="E454" s="4" t="s">
        <v>14</v>
      </c>
      <c r="F454" s="4">
        <v>6</v>
      </c>
      <c r="G454" s="8">
        <v>120836</v>
      </c>
      <c r="H454" s="4">
        <v>5</v>
      </c>
      <c r="I454" s="4">
        <v>53</v>
      </c>
      <c r="J454" s="2" t="str">
        <f t="shared" si="14"/>
        <v>High Cost</v>
      </c>
      <c r="K454" s="2" t="str">
        <f t="shared" si="15"/>
        <v>Child</v>
      </c>
    </row>
    <row r="455" spans="1:11" x14ac:dyDescent="0.25">
      <c r="A455" s="4" t="s">
        <v>479</v>
      </c>
      <c r="B455" s="4" t="s">
        <v>15</v>
      </c>
      <c r="C455" s="4" t="s">
        <v>12</v>
      </c>
      <c r="D455" s="4" t="s">
        <v>18</v>
      </c>
      <c r="E455" s="4" t="s">
        <v>14</v>
      </c>
      <c r="F455" s="4">
        <v>18</v>
      </c>
      <c r="G455" s="8">
        <v>52805</v>
      </c>
      <c r="H455" s="4">
        <v>29</v>
      </c>
      <c r="I455" s="4">
        <v>87</v>
      </c>
      <c r="J455" s="2" t="str">
        <f t="shared" si="14"/>
        <v>Low Cost</v>
      </c>
      <c r="K455" s="2" t="str">
        <f t="shared" si="15"/>
        <v>Teenager</v>
      </c>
    </row>
    <row r="456" spans="1:11" x14ac:dyDescent="0.25">
      <c r="A456" s="4" t="s">
        <v>480</v>
      </c>
      <c r="B456" s="4" t="s">
        <v>21</v>
      </c>
      <c r="C456" s="4" t="s">
        <v>27</v>
      </c>
      <c r="D456" s="4" t="s">
        <v>11</v>
      </c>
      <c r="E456" s="4" t="s">
        <v>9</v>
      </c>
      <c r="F456" s="4">
        <v>81</v>
      </c>
      <c r="G456" s="8">
        <v>154643</v>
      </c>
      <c r="H456" s="4">
        <v>19</v>
      </c>
      <c r="I456" s="4">
        <v>58</v>
      </c>
      <c r="J456" s="2" t="str">
        <f t="shared" si="14"/>
        <v>High Cost</v>
      </c>
      <c r="K456" s="2" t="str">
        <f t="shared" si="15"/>
        <v>Elderly</v>
      </c>
    </row>
    <row r="457" spans="1:11" x14ac:dyDescent="0.25">
      <c r="A457" s="4" t="s">
        <v>481</v>
      </c>
      <c r="B457" s="4" t="s">
        <v>26</v>
      </c>
      <c r="C457" s="4" t="s">
        <v>27</v>
      </c>
      <c r="D457" s="4" t="s">
        <v>18</v>
      </c>
      <c r="E457" s="4" t="s">
        <v>14</v>
      </c>
      <c r="F457" s="4">
        <v>19</v>
      </c>
      <c r="G457" s="8">
        <v>25186</v>
      </c>
      <c r="H457" s="4">
        <v>26</v>
      </c>
      <c r="I457" s="4">
        <v>75</v>
      </c>
      <c r="J457" s="2" t="str">
        <f t="shared" si="14"/>
        <v>Low Cost</v>
      </c>
      <c r="K457" s="2" t="str">
        <f t="shared" si="15"/>
        <v>Teenager</v>
      </c>
    </row>
    <row r="458" spans="1:11" x14ac:dyDescent="0.25">
      <c r="A458" s="4" t="s">
        <v>482</v>
      </c>
      <c r="B458" s="4" t="s">
        <v>21</v>
      </c>
      <c r="C458" s="4" t="s">
        <v>12</v>
      </c>
      <c r="D458" s="4" t="s">
        <v>31</v>
      </c>
      <c r="E458" s="4" t="s">
        <v>14</v>
      </c>
      <c r="F458" s="4">
        <v>30</v>
      </c>
      <c r="G458" s="8">
        <v>72734</v>
      </c>
      <c r="H458" s="4">
        <v>14</v>
      </c>
      <c r="I458" s="4">
        <v>68</v>
      </c>
      <c r="J458" s="2" t="str">
        <f t="shared" si="14"/>
        <v>Low Cost</v>
      </c>
      <c r="K458" s="2" t="str">
        <f t="shared" si="15"/>
        <v>Adult</v>
      </c>
    </row>
    <row r="459" spans="1:11" x14ac:dyDescent="0.25">
      <c r="A459" s="4" t="s">
        <v>483</v>
      </c>
      <c r="B459" s="4" t="s">
        <v>26</v>
      </c>
      <c r="C459" s="4" t="s">
        <v>32</v>
      </c>
      <c r="D459" s="4" t="s">
        <v>24</v>
      </c>
      <c r="E459" s="4" t="s">
        <v>9</v>
      </c>
      <c r="F459" s="4">
        <v>58</v>
      </c>
      <c r="G459" s="8">
        <v>163009</v>
      </c>
      <c r="H459" s="4">
        <v>4</v>
      </c>
      <c r="I459" s="4">
        <v>71</v>
      </c>
      <c r="J459" s="2" t="str">
        <f t="shared" si="14"/>
        <v>High Cost</v>
      </c>
      <c r="K459" s="2" t="str">
        <f t="shared" si="15"/>
        <v>Middle-aged</v>
      </c>
    </row>
    <row r="460" spans="1:11" x14ac:dyDescent="0.25">
      <c r="A460" s="4" t="s">
        <v>484</v>
      </c>
      <c r="B460" s="4" t="s">
        <v>26</v>
      </c>
      <c r="C460" s="4" t="s">
        <v>12</v>
      </c>
      <c r="D460" s="4" t="s">
        <v>16</v>
      </c>
      <c r="E460" s="4" t="s">
        <v>9</v>
      </c>
      <c r="F460" s="4">
        <v>20</v>
      </c>
      <c r="G460" s="8">
        <v>130536</v>
      </c>
      <c r="H460" s="4">
        <v>25</v>
      </c>
      <c r="I460" s="4">
        <v>63</v>
      </c>
      <c r="J460" s="2" t="str">
        <f t="shared" si="14"/>
        <v>High Cost</v>
      </c>
      <c r="K460" s="2" t="str">
        <f t="shared" si="15"/>
        <v>Young Adult</v>
      </c>
    </row>
    <row r="461" spans="1:11" x14ac:dyDescent="0.25">
      <c r="A461" s="4" t="s">
        <v>485</v>
      </c>
      <c r="B461" s="4" t="s">
        <v>36</v>
      </c>
      <c r="C461" s="4" t="s">
        <v>19</v>
      </c>
      <c r="D461" s="4" t="s">
        <v>31</v>
      </c>
      <c r="E461" s="4" t="s">
        <v>14</v>
      </c>
      <c r="F461" s="4">
        <v>74</v>
      </c>
      <c r="G461" s="8">
        <v>91629</v>
      </c>
      <c r="H461" s="4">
        <v>14</v>
      </c>
      <c r="I461" s="4">
        <v>55</v>
      </c>
      <c r="J461" s="2" t="str">
        <f t="shared" si="14"/>
        <v>Low Cost</v>
      </c>
      <c r="K461" s="2" t="str">
        <f t="shared" si="15"/>
        <v>Senior</v>
      </c>
    </row>
    <row r="462" spans="1:11" x14ac:dyDescent="0.25">
      <c r="A462" s="4" t="s">
        <v>486</v>
      </c>
      <c r="B462" s="4" t="s">
        <v>26</v>
      </c>
      <c r="C462" s="4" t="s">
        <v>19</v>
      </c>
      <c r="D462" s="4" t="s">
        <v>31</v>
      </c>
      <c r="E462" s="4" t="s">
        <v>9</v>
      </c>
      <c r="F462" s="4">
        <v>77</v>
      </c>
      <c r="G462" s="8">
        <v>65160</v>
      </c>
      <c r="H462" s="4">
        <v>19</v>
      </c>
      <c r="I462" s="4">
        <v>57</v>
      </c>
      <c r="J462" s="2" t="str">
        <f t="shared" si="14"/>
        <v>Low Cost</v>
      </c>
      <c r="K462" s="2" t="str">
        <f t="shared" si="15"/>
        <v>Elderly</v>
      </c>
    </row>
    <row r="463" spans="1:11" x14ac:dyDescent="0.25">
      <c r="A463" s="4" t="s">
        <v>487</v>
      </c>
      <c r="B463" s="4" t="s">
        <v>23</v>
      </c>
      <c r="C463" s="4" t="s">
        <v>12</v>
      </c>
      <c r="D463" s="4" t="s">
        <v>18</v>
      </c>
      <c r="E463" s="4" t="s">
        <v>9</v>
      </c>
      <c r="F463" s="4">
        <v>37</v>
      </c>
      <c r="G463" s="8">
        <v>116645</v>
      </c>
      <c r="H463" s="4">
        <v>5</v>
      </c>
      <c r="I463" s="4">
        <v>61</v>
      </c>
      <c r="J463" s="2" t="str">
        <f t="shared" si="14"/>
        <v>High Cost</v>
      </c>
      <c r="K463" s="2" t="str">
        <f t="shared" si="15"/>
        <v>Adult</v>
      </c>
    </row>
    <row r="464" spans="1:11" x14ac:dyDescent="0.25">
      <c r="A464" s="4" t="s">
        <v>488</v>
      </c>
      <c r="B464" s="4" t="s">
        <v>23</v>
      </c>
      <c r="C464" s="4" t="s">
        <v>27</v>
      </c>
      <c r="D464" s="4" t="s">
        <v>16</v>
      </c>
      <c r="E464" s="4" t="s">
        <v>14</v>
      </c>
      <c r="F464" s="4">
        <v>8</v>
      </c>
      <c r="G464" s="8">
        <v>62388</v>
      </c>
      <c r="H464" s="4">
        <v>25</v>
      </c>
      <c r="I464" s="4">
        <v>57</v>
      </c>
      <c r="J464" s="2" t="str">
        <f t="shared" si="14"/>
        <v>Low Cost</v>
      </c>
      <c r="K464" s="2" t="str">
        <f t="shared" si="15"/>
        <v>Child</v>
      </c>
    </row>
    <row r="465" spans="1:11" x14ac:dyDescent="0.25">
      <c r="A465" s="4" t="s">
        <v>489</v>
      </c>
      <c r="B465" s="4" t="s">
        <v>36</v>
      </c>
      <c r="C465" s="4" t="s">
        <v>19</v>
      </c>
      <c r="D465" s="4" t="s">
        <v>31</v>
      </c>
      <c r="E465" s="4" t="s">
        <v>14</v>
      </c>
      <c r="F465" s="4">
        <v>53</v>
      </c>
      <c r="G465" s="8">
        <v>53276</v>
      </c>
      <c r="H465" s="4">
        <v>24</v>
      </c>
      <c r="I465" s="4">
        <v>63</v>
      </c>
      <c r="J465" s="2" t="str">
        <f t="shared" si="14"/>
        <v>Low Cost</v>
      </c>
      <c r="K465" s="2" t="str">
        <f t="shared" si="15"/>
        <v>Middle-aged</v>
      </c>
    </row>
    <row r="466" spans="1:11" x14ac:dyDescent="0.25">
      <c r="A466" s="4" t="s">
        <v>490</v>
      </c>
      <c r="B466" s="4" t="s">
        <v>15</v>
      </c>
      <c r="C466" s="4" t="s">
        <v>12</v>
      </c>
      <c r="D466" s="4" t="s">
        <v>31</v>
      </c>
      <c r="E466" s="4" t="s">
        <v>9</v>
      </c>
      <c r="F466" s="4">
        <v>77</v>
      </c>
      <c r="G466" s="8">
        <v>64065</v>
      </c>
      <c r="H466" s="4">
        <v>17</v>
      </c>
      <c r="I466" s="4">
        <v>67</v>
      </c>
      <c r="J466" s="2" t="str">
        <f t="shared" si="14"/>
        <v>Low Cost</v>
      </c>
      <c r="K466" s="2" t="str">
        <f t="shared" si="15"/>
        <v>Elderly</v>
      </c>
    </row>
    <row r="467" spans="1:11" x14ac:dyDescent="0.25">
      <c r="A467" s="4" t="s">
        <v>491</v>
      </c>
      <c r="B467" s="4" t="s">
        <v>10</v>
      </c>
      <c r="C467" s="4" t="s">
        <v>12</v>
      </c>
      <c r="D467" s="4" t="s">
        <v>11</v>
      </c>
      <c r="E467" s="4" t="s">
        <v>14</v>
      </c>
      <c r="F467" s="4">
        <v>51</v>
      </c>
      <c r="G467" s="8">
        <v>141789</v>
      </c>
      <c r="H467" s="4">
        <v>27</v>
      </c>
      <c r="I467" s="4">
        <v>85</v>
      </c>
      <c r="J467" s="2" t="str">
        <f t="shared" si="14"/>
        <v>High Cost</v>
      </c>
      <c r="K467" s="2" t="str">
        <f t="shared" si="15"/>
        <v>Middle-aged</v>
      </c>
    </row>
    <row r="468" spans="1:11" x14ac:dyDescent="0.25">
      <c r="A468" s="4" t="s">
        <v>492</v>
      </c>
      <c r="B468" s="4" t="s">
        <v>36</v>
      </c>
      <c r="C468" s="4" t="s">
        <v>27</v>
      </c>
      <c r="D468" s="4" t="s">
        <v>16</v>
      </c>
      <c r="E468" s="4" t="s">
        <v>14</v>
      </c>
      <c r="F468" s="4">
        <v>16</v>
      </c>
      <c r="G468" s="8">
        <v>97614</v>
      </c>
      <c r="H468" s="4">
        <v>19</v>
      </c>
      <c r="I468" s="4">
        <v>71</v>
      </c>
      <c r="J468" s="2" t="str">
        <f t="shared" si="14"/>
        <v>Low Cost</v>
      </c>
      <c r="K468" s="2" t="str">
        <f t="shared" si="15"/>
        <v>Teenager</v>
      </c>
    </row>
    <row r="469" spans="1:11" x14ac:dyDescent="0.25">
      <c r="A469" s="4" t="s">
        <v>493</v>
      </c>
      <c r="B469" s="4" t="s">
        <v>21</v>
      </c>
      <c r="C469" s="4" t="s">
        <v>12</v>
      </c>
      <c r="D469" s="4" t="s">
        <v>24</v>
      </c>
      <c r="E469" s="4" t="s">
        <v>9</v>
      </c>
      <c r="F469" s="4">
        <v>38</v>
      </c>
      <c r="G469" s="8">
        <v>124599</v>
      </c>
      <c r="H469" s="4">
        <v>21</v>
      </c>
      <c r="I469" s="4">
        <v>69</v>
      </c>
      <c r="J469" s="2" t="str">
        <f t="shared" si="14"/>
        <v>High Cost</v>
      </c>
      <c r="K469" s="2" t="str">
        <f t="shared" si="15"/>
        <v>Adult</v>
      </c>
    </row>
    <row r="470" spans="1:11" x14ac:dyDescent="0.25">
      <c r="A470" s="4" t="s">
        <v>494</v>
      </c>
      <c r="B470" s="4" t="s">
        <v>23</v>
      </c>
      <c r="C470" s="4" t="s">
        <v>27</v>
      </c>
      <c r="D470" s="4" t="s">
        <v>31</v>
      </c>
      <c r="E470" s="4" t="s">
        <v>14</v>
      </c>
      <c r="F470" s="4">
        <v>83</v>
      </c>
      <c r="G470" s="8">
        <v>197057</v>
      </c>
      <c r="H470" s="4">
        <v>8</v>
      </c>
      <c r="I470" s="4">
        <v>51</v>
      </c>
      <c r="J470" s="2" t="str">
        <f t="shared" si="14"/>
        <v>High Cost</v>
      </c>
      <c r="K470" s="2" t="str">
        <f t="shared" si="15"/>
        <v>Elderly</v>
      </c>
    </row>
    <row r="471" spans="1:11" x14ac:dyDescent="0.25">
      <c r="A471" s="4" t="s">
        <v>495</v>
      </c>
      <c r="B471" s="4" t="s">
        <v>10</v>
      </c>
      <c r="C471" s="4" t="s">
        <v>27</v>
      </c>
      <c r="D471" s="4" t="s">
        <v>24</v>
      </c>
      <c r="E471" s="4" t="s">
        <v>9</v>
      </c>
      <c r="F471" s="4">
        <v>78</v>
      </c>
      <c r="G471" s="8">
        <v>77239</v>
      </c>
      <c r="H471" s="4">
        <v>26</v>
      </c>
      <c r="I471" s="4">
        <v>72</v>
      </c>
      <c r="J471" s="2" t="str">
        <f t="shared" si="14"/>
        <v>Low Cost</v>
      </c>
      <c r="K471" s="2" t="str">
        <f t="shared" si="15"/>
        <v>Elderly</v>
      </c>
    </row>
    <row r="472" spans="1:11" x14ac:dyDescent="0.25">
      <c r="A472" s="4" t="s">
        <v>496</v>
      </c>
      <c r="B472" s="4" t="s">
        <v>10</v>
      </c>
      <c r="C472" s="4" t="s">
        <v>27</v>
      </c>
      <c r="D472" s="4" t="s">
        <v>24</v>
      </c>
      <c r="E472" s="4" t="s">
        <v>9</v>
      </c>
      <c r="F472" s="4">
        <v>2</v>
      </c>
      <c r="G472" s="8">
        <v>143564</v>
      </c>
      <c r="H472" s="4">
        <v>21</v>
      </c>
      <c r="I472" s="4">
        <v>93</v>
      </c>
      <c r="J472" s="2" t="str">
        <f t="shared" si="14"/>
        <v>High Cost</v>
      </c>
      <c r="K472" s="2" t="str">
        <f t="shared" si="15"/>
        <v>Infant / Toddler</v>
      </c>
    </row>
    <row r="473" spans="1:11" x14ac:dyDescent="0.25">
      <c r="A473" s="4" t="s">
        <v>497</v>
      </c>
      <c r="B473" s="4" t="s">
        <v>15</v>
      </c>
      <c r="C473" s="4" t="s">
        <v>32</v>
      </c>
      <c r="D473" s="4" t="s">
        <v>16</v>
      </c>
      <c r="E473" s="4" t="s">
        <v>9</v>
      </c>
      <c r="F473" s="4">
        <v>10</v>
      </c>
      <c r="G473" s="8">
        <v>133744</v>
      </c>
      <c r="H473" s="4">
        <v>18</v>
      </c>
      <c r="I473" s="4">
        <v>89</v>
      </c>
      <c r="J473" s="2" t="str">
        <f t="shared" si="14"/>
        <v>High Cost</v>
      </c>
      <c r="K473" s="2" t="str">
        <f t="shared" si="15"/>
        <v>Child</v>
      </c>
    </row>
    <row r="474" spans="1:11" x14ac:dyDescent="0.25">
      <c r="A474" s="4" t="s">
        <v>498</v>
      </c>
      <c r="B474" s="4" t="s">
        <v>10</v>
      </c>
      <c r="C474" s="4" t="s">
        <v>27</v>
      </c>
      <c r="D474" s="4" t="s">
        <v>24</v>
      </c>
      <c r="E474" s="4" t="s">
        <v>14</v>
      </c>
      <c r="F474" s="4">
        <v>18</v>
      </c>
      <c r="G474" s="8">
        <v>148500</v>
      </c>
      <c r="H474" s="4">
        <v>24</v>
      </c>
      <c r="I474" s="4">
        <v>90</v>
      </c>
      <c r="J474" s="2" t="str">
        <f t="shared" si="14"/>
        <v>High Cost</v>
      </c>
      <c r="K474" s="2" t="str">
        <f t="shared" si="15"/>
        <v>Teenager</v>
      </c>
    </row>
    <row r="475" spans="1:11" x14ac:dyDescent="0.25">
      <c r="A475" s="4" t="s">
        <v>499</v>
      </c>
      <c r="B475" s="4" t="s">
        <v>23</v>
      </c>
      <c r="C475" s="4" t="s">
        <v>19</v>
      </c>
      <c r="D475" s="4" t="s">
        <v>11</v>
      </c>
      <c r="E475" s="4" t="s">
        <v>14</v>
      </c>
      <c r="F475" s="4">
        <v>30</v>
      </c>
      <c r="G475" s="8">
        <v>63879</v>
      </c>
      <c r="H475" s="4">
        <v>19</v>
      </c>
      <c r="I475" s="4">
        <v>50</v>
      </c>
      <c r="J475" s="2" t="str">
        <f t="shared" si="14"/>
        <v>Low Cost</v>
      </c>
      <c r="K475" s="2" t="str">
        <f t="shared" si="15"/>
        <v>Adult</v>
      </c>
    </row>
    <row r="476" spans="1:11" x14ac:dyDescent="0.25">
      <c r="A476" s="4" t="s">
        <v>500</v>
      </c>
      <c r="B476" s="4" t="s">
        <v>10</v>
      </c>
      <c r="C476" s="4" t="s">
        <v>27</v>
      </c>
      <c r="D476" s="4" t="s">
        <v>18</v>
      </c>
      <c r="E476" s="4" t="s">
        <v>14</v>
      </c>
      <c r="F476" s="4">
        <v>4</v>
      </c>
      <c r="G476" s="8">
        <v>159992</v>
      </c>
      <c r="H476" s="4">
        <v>24</v>
      </c>
      <c r="I476" s="4">
        <v>59</v>
      </c>
      <c r="J476" s="2" t="str">
        <f t="shared" si="14"/>
        <v>High Cost</v>
      </c>
      <c r="K476" s="2" t="str">
        <f t="shared" si="15"/>
        <v>Infant / Toddler</v>
      </c>
    </row>
    <row r="477" spans="1:11" x14ac:dyDescent="0.25">
      <c r="A477" s="4" t="s">
        <v>501</v>
      </c>
      <c r="B477" s="4" t="s">
        <v>15</v>
      </c>
      <c r="C477" s="4" t="s">
        <v>32</v>
      </c>
      <c r="D477" s="4" t="s">
        <v>31</v>
      </c>
      <c r="E477" s="4" t="s">
        <v>9</v>
      </c>
      <c r="F477" s="4">
        <v>84</v>
      </c>
      <c r="G477" s="8">
        <v>79986</v>
      </c>
      <c r="H477" s="4">
        <v>22</v>
      </c>
      <c r="I477" s="4">
        <v>52</v>
      </c>
      <c r="J477" s="2" t="str">
        <f t="shared" si="14"/>
        <v>Low Cost</v>
      </c>
      <c r="K477" s="2" t="str">
        <f t="shared" si="15"/>
        <v>Elderly</v>
      </c>
    </row>
    <row r="478" spans="1:11" x14ac:dyDescent="0.25">
      <c r="A478" s="4" t="s">
        <v>502</v>
      </c>
      <c r="B478" s="4" t="s">
        <v>15</v>
      </c>
      <c r="C478" s="4" t="s">
        <v>27</v>
      </c>
      <c r="D478" s="4" t="s">
        <v>31</v>
      </c>
      <c r="E478" s="4" t="s">
        <v>9</v>
      </c>
      <c r="F478" s="4">
        <v>62</v>
      </c>
      <c r="G478" s="8">
        <v>113607</v>
      </c>
      <c r="H478" s="4">
        <v>23</v>
      </c>
      <c r="I478" s="4">
        <v>65</v>
      </c>
      <c r="J478" s="2" t="str">
        <f t="shared" si="14"/>
        <v>High Cost</v>
      </c>
      <c r="K478" s="2" t="str">
        <f t="shared" si="15"/>
        <v>Senior</v>
      </c>
    </row>
    <row r="479" spans="1:11" x14ac:dyDescent="0.25">
      <c r="A479" s="4" t="s">
        <v>503</v>
      </c>
      <c r="B479" s="4" t="s">
        <v>10</v>
      </c>
      <c r="C479" s="4" t="s">
        <v>12</v>
      </c>
      <c r="D479" s="4" t="s">
        <v>24</v>
      </c>
      <c r="E479" s="4" t="s">
        <v>9</v>
      </c>
      <c r="F479" s="4">
        <v>76</v>
      </c>
      <c r="G479" s="8">
        <v>96135</v>
      </c>
      <c r="H479" s="4">
        <v>17</v>
      </c>
      <c r="I479" s="4">
        <v>61</v>
      </c>
      <c r="J479" s="2" t="str">
        <f t="shared" si="14"/>
        <v>Low Cost</v>
      </c>
      <c r="K479" s="2" t="str">
        <f t="shared" si="15"/>
        <v>Elderly</v>
      </c>
    </row>
    <row r="480" spans="1:11" x14ac:dyDescent="0.25">
      <c r="A480" s="4" t="s">
        <v>504</v>
      </c>
      <c r="B480" s="4" t="s">
        <v>23</v>
      </c>
      <c r="C480" s="4" t="s">
        <v>27</v>
      </c>
      <c r="D480" s="4" t="s">
        <v>18</v>
      </c>
      <c r="E480" s="4" t="s">
        <v>14</v>
      </c>
      <c r="F480" s="4">
        <v>20</v>
      </c>
      <c r="G480" s="8">
        <v>126992</v>
      </c>
      <c r="H480" s="4">
        <v>28</v>
      </c>
      <c r="I480" s="4">
        <v>63</v>
      </c>
      <c r="J480" s="2" t="str">
        <f t="shared" si="14"/>
        <v>High Cost</v>
      </c>
      <c r="K480" s="2" t="str">
        <f t="shared" si="15"/>
        <v>Young Adult</v>
      </c>
    </row>
    <row r="481" spans="1:11" x14ac:dyDescent="0.25">
      <c r="A481" s="4" t="s">
        <v>505</v>
      </c>
      <c r="B481" s="4" t="s">
        <v>15</v>
      </c>
      <c r="C481" s="4" t="s">
        <v>19</v>
      </c>
      <c r="D481" s="4" t="s">
        <v>24</v>
      </c>
      <c r="E481" s="4" t="s">
        <v>14</v>
      </c>
      <c r="F481" s="4">
        <v>22</v>
      </c>
      <c r="G481" s="8">
        <v>53692</v>
      </c>
      <c r="H481" s="4">
        <v>10</v>
      </c>
      <c r="I481" s="4">
        <v>85</v>
      </c>
      <c r="J481" s="2" t="str">
        <f t="shared" si="14"/>
        <v>Low Cost</v>
      </c>
      <c r="K481" s="2" t="str">
        <f t="shared" si="15"/>
        <v>Young Adult</v>
      </c>
    </row>
    <row r="482" spans="1:11" x14ac:dyDescent="0.25">
      <c r="A482" s="4" t="s">
        <v>506</v>
      </c>
      <c r="B482" s="4" t="s">
        <v>15</v>
      </c>
      <c r="C482" s="4" t="s">
        <v>19</v>
      </c>
      <c r="D482" s="4" t="s">
        <v>18</v>
      </c>
      <c r="E482" s="4" t="s">
        <v>9</v>
      </c>
      <c r="F482" s="4">
        <v>29</v>
      </c>
      <c r="G482" s="8">
        <v>119105</v>
      </c>
      <c r="H482" s="4">
        <v>25</v>
      </c>
      <c r="I482" s="4">
        <v>66</v>
      </c>
      <c r="J482" s="2" t="str">
        <f t="shared" si="14"/>
        <v>High Cost</v>
      </c>
      <c r="K482" s="2" t="str">
        <f t="shared" si="15"/>
        <v>Young Adult</v>
      </c>
    </row>
    <row r="483" spans="1:11" x14ac:dyDescent="0.25">
      <c r="A483" s="4" t="s">
        <v>507</v>
      </c>
      <c r="B483" s="4" t="s">
        <v>15</v>
      </c>
      <c r="C483" s="4" t="s">
        <v>32</v>
      </c>
      <c r="D483" s="4" t="s">
        <v>11</v>
      </c>
      <c r="E483" s="4" t="s">
        <v>9</v>
      </c>
      <c r="F483" s="4">
        <v>20</v>
      </c>
      <c r="G483" s="8">
        <v>105506</v>
      </c>
      <c r="H483" s="4">
        <v>7</v>
      </c>
      <c r="I483" s="4">
        <v>76</v>
      </c>
      <c r="J483" s="2" t="str">
        <f t="shared" si="14"/>
        <v>High Cost</v>
      </c>
      <c r="K483" s="2" t="str">
        <f t="shared" si="15"/>
        <v>Young Adult</v>
      </c>
    </row>
    <row r="484" spans="1:11" x14ac:dyDescent="0.25">
      <c r="A484" s="4" t="s">
        <v>508</v>
      </c>
      <c r="B484" s="4" t="s">
        <v>26</v>
      </c>
      <c r="C484" s="4" t="s">
        <v>19</v>
      </c>
      <c r="D484" s="4" t="s">
        <v>18</v>
      </c>
      <c r="E484" s="4" t="s">
        <v>14</v>
      </c>
      <c r="F484" s="4">
        <v>64</v>
      </c>
      <c r="G484" s="8">
        <v>92371</v>
      </c>
      <c r="H484" s="4">
        <v>16</v>
      </c>
      <c r="I484" s="4">
        <v>59</v>
      </c>
      <c r="J484" s="2" t="str">
        <f t="shared" si="14"/>
        <v>Low Cost</v>
      </c>
      <c r="K484" s="2" t="str">
        <f t="shared" si="15"/>
        <v>Senior</v>
      </c>
    </row>
    <row r="485" spans="1:11" x14ac:dyDescent="0.25">
      <c r="A485" s="4" t="s">
        <v>509</v>
      </c>
      <c r="B485" s="4" t="s">
        <v>15</v>
      </c>
      <c r="C485" s="4" t="s">
        <v>12</v>
      </c>
      <c r="D485" s="4" t="s">
        <v>24</v>
      </c>
      <c r="E485" s="4" t="s">
        <v>9</v>
      </c>
      <c r="F485" s="4">
        <v>39</v>
      </c>
      <c r="G485" s="8">
        <v>187247</v>
      </c>
      <c r="H485" s="4">
        <v>7</v>
      </c>
      <c r="I485" s="4">
        <v>86</v>
      </c>
      <c r="J485" s="2" t="str">
        <f t="shared" si="14"/>
        <v>High Cost</v>
      </c>
      <c r="K485" s="2" t="str">
        <f t="shared" si="15"/>
        <v>Adult</v>
      </c>
    </row>
    <row r="486" spans="1:11" x14ac:dyDescent="0.25">
      <c r="A486" s="4" t="s">
        <v>510</v>
      </c>
      <c r="B486" s="4" t="s">
        <v>23</v>
      </c>
      <c r="C486" s="4" t="s">
        <v>32</v>
      </c>
      <c r="D486" s="4" t="s">
        <v>31</v>
      </c>
      <c r="E486" s="4" t="s">
        <v>14</v>
      </c>
      <c r="F486" s="4">
        <v>39</v>
      </c>
      <c r="G486" s="8">
        <v>28079</v>
      </c>
      <c r="H486" s="4">
        <v>24</v>
      </c>
      <c r="I486" s="4">
        <v>86</v>
      </c>
      <c r="J486" s="2" t="str">
        <f t="shared" si="14"/>
        <v>Low Cost</v>
      </c>
      <c r="K486" s="2" t="str">
        <f t="shared" si="15"/>
        <v>Adult</v>
      </c>
    </row>
    <row r="487" spans="1:11" x14ac:dyDescent="0.25">
      <c r="A487" s="4" t="s">
        <v>511</v>
      </c>
      <c r="B487" s="4" t="s">
        <v>21</v>
      </c>
      <c r="C487" s="4" t="s">
        <v>27</v>
      </c>
      <c r="D487" s="4" t="s">
        <v>16</v>
      </c>
      <c r="E487" s="4" t="s">
        <v>9</v>
      </c>
      <c r="F487" s="4">
        <v>1</v>
      </c>
      <c r="G487" s="8">
        <v>177157</v>
      </c>
      <c r="H487" s="4">
        <v>4</v>
      </c>
      <c r="I487" s="4">
        <v>91</v>
      </c>
      <c r="J487" s="2" t="str">
        <f t="shared" si="14"/>
        <v>High Cost</v>
      </c>
      <c r="K487" s="2" t="str">
        <f t="shared" si="15"/>
        <v>Infant / Toddler</v>
      </c>
    </row>
    <row r="488" spans="1:11" x14ac:dyDescent="0.25">
      <c r="A488" s="4" t="s">
        <v>512</v>
      </c>
      <c r="B488" s="4" t="s">
        <v>23</v>
      </c>
      <c r="C488" s="4" t="s">
        <v>12</v>
      </c>
      <c r="D488" s="4" t="s">
        <v>11</v>
      </c>
      <c r="E488" s="4" t="s">
        <v>14</v>
      </c>
      <c r="F488" s="4">
        <v>35</v>
      </c>
      <c r="G488" s="8">
        <v>121408</v>
      </c>
      <c r="H488" s="4">
        <v>16</v>
      </c>
      <c r="I488" s="4">
        <v>95</v>
      </c>
      <c r="J488" s="2" t="str">
        <f t="shared" si="14"/>
        <v>High Cost</v>
      </c>
      <c r="K488" s="2" t="str">
        <f t="shared" si="15"/>
        <v>Adult</v>
      </c>
    </row>
    <row r="489" spans="1:11" x14ac:dyDescent="0.25">
      <c r="A489" s="4" t="s">
        <v>513</v>
      </c>
      <c r="B489" s="4" t="s">
        <v>36</v>
      </c>
      <c r="C489" s="4" t="s">
        <v>32</v>
      </c>
      <c r="D489" s="4" t="s">
        <v>11</v>
      </c>
      <c r="E489" s="4" t="s">
        <v>14</v>
      </c>
      <c r="F489" s="4">
        <v>27</v>
      </c>
      <c r="G489" s="8">
        <v>144857</v>
      </c>
      <c r="H489" s="4">
        <v>18</v>
      </c>
      <c r="I489" s="4">
        <v>91</v>
      </c>
      <c r="J489" s="2" t="str">
        <f t="shared" si="14"/>
        <v>High Cost</v>
      </c>
      <c r="K489" s="2" t="str">
        <f t="shared" si="15"/>
        <v>Young Adult</v>
      </c>
    </row>
    <row r="490" spans="1:11" x14ac:dyDescent="0.25">
      <c r="A490" s="4" t="s">
        <v>514</v>
      </c>
      <c r="B490" s="4" t="s">
        <v>36</v>
      </c>
      <c r="C490" s="4" t="s">
        <v>12</v>
      </c>
      <c r="D490" s="4" t="s">
        <v>24</v>
      </c>
      <c r="E490" s="4" t="s">
        <v>14</v>
      </c>
      <c r="F490" s="4">
        <v>42</v>
      </c>
      <c r="G490" s="8">
        <v>53740</v>
      </c>
      <c r="H490" s="4">
        <v>15</v>
      </c>
      <c r="I490" s="4">
        <v>58</v>
      </c>
      <c r="J490" s="2" t="str">
        <f t="shared" si="14"/>
        <v>Low Cost</v>
      </c>
      <c r="K490" s="2" t="str">
        <f t="shared" si="15"/>
        <v>Adult</v>
      </c>
    </row>
    <row r="491" spans="1:11" x14ac:dyDescent="0.25">
      <c r="A491" s="4" t="s">
        <v>515</v>
      </c>
      <c r="B491" s="4" t="s">
        <v>26</v>
      </c>
      <c r="C491" s="4" t="s">
        <v>12</v>
      </c>
      <c r="D491" s="4" t="s">
        <v>11</v>
      </c>
      <c r="E491" s="4" t="s">
        <v>9</v>
      </c>
      <c r="F491" s="4">
        <v>49</v>
      </c>
      <c r="G491" s="8">
        <v>119942</v>
      </c>
      <c r="H491" s="4">
        <v>23</v>
      </c>
      <c r="I491" s="4">
        <v>81</v>
      </c>
      <c r="J491" s="2" t="str">
        <f t="shared" si="14"/>
        <v>High Cost</v>
      </c>
      <c r="K491" s="2" t="str">
        <f t="shared" si="15"/>
        <v>Middle-aged</v>
      </c>
    </row>
    <row r="492" spans="1:11" x14ac:dyDescent="0.25">
      <c r="A492" s="4" t="s">
        <v>516</v>
      </c>
      <c r="B492" s="4" t="s">
        <v>23</v>
      </c>
      <c r="C492" s="4" t="s">
        <v>32</v>
      </c>
      <c r="D492" s="4" t="s">
        <v>31</v>
      </c>
      <c r="E492" s="4" t="s">
        <v>14</v>
      </c>
      <c r="F492" s="4">
        <v>19</v>
      </c>
      <c r="G492" s="8">
        <v>34696</v>
      </c>
      <c r="H492" s="4">
        <v>22</v>
      </c>
      <c r="I492" s="4">
        <v>95</v>
      </c>
      <c r="J492" s="2" t="str">
        <f t="shared" si="14"/>
        <v>Low Cost</v>
      </c>
      <c r="K492" s="2" t="str">
        <f t="shared" si="15"/>
        <v>Teenager</v>
      </c>
    </row>
    <row r="493" spans="1:11" x14ac:dyDescent="0.25">
      <c r="A493" s="4" t="s">
        <v>517</v>
      </c>
      <c r="B493" s="4" t="s">
        <v>36</v>
      </c>
      <c r="C493" s="4" t="s">
        <v>32</v>
      </c>
      <c r="D493" s="4" t="s">
        <v>16</v>
      </c>
      <c r="E493" s="4" t="s">
        <v>14</v>
      </c>
      <c r="F493" s="4">
        <v>42</v>
      </c>
      <c r="G493" s="8">
        <v>93235</v>
      </c>
      <c r="H493" s="4">
        <v>3</v>
      </c>
      <c r="I493" s="4">
        <v>83</v>
      </c>
      <c r="J493" s="2" t="str">
        <f t="shared" si="14"/>
        <v>Low Cost</v>
      </c>
      <c r="K493" s="2" t="str">
        <f t="shared" si="15"/>
        <v>Adult</v>
      </c>
    </row>
    <row r="494" spans="1:11" x14ac:dyDescent="0.25">
      <c r="A494" s="4" t="s">
        <v>518</v>
      </c>
      <c r="B494" s="4" t="s">
        <v>36</v>
      </c>
      <c r="C494" s="4" t="s">
        <v>27</v>
      </c>
      <c r="D494" s="4" t="s">
        <v>31</v>
      </c>
      <c r="E494" s="4" t="s">
        <v>9</v>
      </c>
      <c r="F494" s="4">
        <v>46</v>
      </c>
      <c r="G494" s="8">
        <v>41735</v>
      </c>
      <c r="H494" s="4">
        <v>3</v>
      </c>
      <c r="I494" s="4">
        <v>77</v>
      </c>
      <c r="J494" s="2" t="str">
        <f t="shared" si="14"/>
        <v>Low Cost</v>
      </c>
      <c r="K494" s="2" t="str">
        <f t="shared" si="15"/>
        <v>Middle-aged</v>
      </c>
    </row>
    <row r="495" spans="1:11" x14ac:dyDescent="0.25">
      <c r="A495" s="4" t="s">
        <v>519</v>
      </c>
      <c r="B495" s="4" t="s">
        <v>36</v>
      </c>
      <c r="C495" s="4" t="s">
        <v>27</v>
      </c>
      <c r="D495" s="4" t="s">
        <v>18</v>
      </c>
      <c r="E495" s="4" t="s">
        <v>9</v>
      </c>
      <c r="F495" s="4">
        <v>5</v>
      </c>
      <c r="G495" s="8">
        <v>125705</v>
      </c>
      <c r="H495" s="4">
        <v>13</v>
      </c>
      <c r="I495" s="4">
        <v>75</v>
      </c>
      <c r="J495" s="2" t="str">
        <f t="shared" si="14"/>
        <v>High Cost</v>
      </c>
      <c r="K495" s="2" t="str">
        <f t="shared" si="15"/>
        <v>Infant / Toddler</v>
      </c>
    </row>
    <row r="496" spans="1:11" x14ac:dyDescent="0.25">
      <c r="A496" s="4" t="s">
        <v>520</v>
      </c>
      <c r="B496" s="4" t="s">
        <v>26</v>
      </c>
      <c r="C496" s="4" t="s">
        <v>19</v>
      </c>
      <c r="D496" s="4" t="s">
        <v>11</v>
      </c>
      <c r="E496" s="4" t="s">
        <v>9</v>
      </c>
      <c r="F496" s="4">
        <v>76</v>
      </c>
      <c r="G496" s="8">
        <v>110848</v>
      </c>
      <c r="H496" s="4">
        <v>12</v>
      </c>
      <c r="I496" s="4">
        <v>77</v>
      </c>
      <c r="J496" s="2" t="str">
        <f t="shared" si="14"/>
        <v>High Cost</v>
      </c>
      <c r="K496" s="2" t="str">
        <f t="shared" si="15"/>
        <v>Elderly</v>
      </c>
    </row>
    <row r="497" spans="1:11" x14ac:dyDescent="0.25">
      <c r="A497" s="4" t="s">
        <v>521</v>
      </c>
      <c r="B497" s="4" t="s">
        <v>15</v>
      </c>
      <c r="C497" s="4" t="s">
        <v>12</v>
      </c>
      <c r="D497" s="4" t="s">
        <v>18</v>
      </c>
      <c r="E497" s="4" t="s">
        <v>14</v>
      </c>
      <c r="F497" s="4">
        <v>38</v>
      </c>
      <c r="G497" s="8">
        <v>173615</v>
      </c>
      <c r="H497" s="4">
        <v>29</v>
      </c>
      <c r="I497" s="4">
        <v>82</v>
      </c>
      <c r="J497" s="2" t="str">
        <f t="shared" si="14"/>
        <v>High Cost</v>
      </c>
      <c r="K497" s="2" t="str">
        <f t="shared" si="15"/>
        <v>Adult</v>
      </c>
    </row>
    <row r="498" spans="1:11" x14ac:dyDescent="0.25">
      <c r="A498" s="4" t="s">
        <v>522</v>
      </c>
      <c r="B498" s="4" t="s">
        <v>21</v>
      </c>
      <c r="C498" s="4" t="s">
        <v>32</v>
      </c>
      <c r="D498" s="4" t="s">
        <v>18</v>
      </c>
      <c r="E498" s="4" t="s">
        <v>9</v>
      </c>
      <c r="F498" s="4">
        <v>62</v>
      </c>
      <c r="G498" s="8">
        <v>145024</v>
      </c>
      <c r="H498" s="4">
        <v>19</v>
      </c>
      <c r="I498" s="4">
        <v>56</v>
      </c>
      <c r="J498" s="2" t="str">
        <f t="shared" si="14"/>
        <v>High Cost</v>
      </c>
      <c r="K498" s="2" t="str">
        <f t="shared" si="15"/>
        <v>Senior</v>
      </c>
    </row>
    <row r="499" spans="1:11" x14ac:dyDescent="0.25">
      <c r="A499" s="4" t="s">
        <v>523</v>
      </c>
      <c r="B499" s="4" t="s">
        <v>26</v>
      </c>
      <c r="C499" s="4" t="s">
        <v>19</v>
      </c>
      <c r="D499" s="4" t="s">
        <v>16</v>
      </c>
      <c r="E499" s="4" t="s">
        <v>14</v>
      </c>
      <c r="F499" s="4">
        <v>19</v>
      </c>
      <c r="G499" s="8">
        <v>41531</v>
      </c>
      <c r="H499" s="4">
        <v>13</v>
      </c>
      <c r="I499" s="4">
        <v>76</v>
      </c>
      <c r="J499" s="2" t="str">
        <f t="shared" si="14"/>
        <v>Low Cost</v>
      </c>
      <c r="K499" s="2" t="str">
        <f t="shared" si="15"/>
        <v>Teenager</v>
      </c>
    </row>
    <row r="500" spans="1:11" x14ac:dyDescent="0.25">
      <c r="A500" s="4" t="s">
        <v>524</v>
      </c>
      <c r="B500" s="4" t="s">
        <v>26</v>
      </c>
      <c r="C500" s="4" t="s">
        <v>12</v>
      </c>
      <c r="D500" s="4" t="s">
        <v>11</v>
      </c>
      <c r="E500" s="4" t="s">
        <v>9</v>
      </c>
      <c r="F500" s="4">
        <v>35</v>
      </c>
      <c r="G500" s="8">
        <v>43125</v>
      </c>
      <c r="H500" s="4">
        <v>12</v>
      </c>
      <c r="I500" s="4">
        <v>94</v>
      </c>
      <c r="J500" s="2" t="str">
        <f t="shared" si="14"/>
        <v>Low Cost</v>
      </c>
      <c r="K500" s="2" t="str">
        <f t="shared" si="15"/>
        <v>Adult</v>
      </c>
    </row>
    <row r="501" spans="1:11" x14ac:dyDescent="0.25">
      <c r="A501" s="4" t="s">
        <v>525</v>
      </c>
      <c r="B501" s="4" t="s">
        <v>15</v>
      </c>
      <c r="C501" s="4" t="s">
        <v>32</v>
      </c>
      <c r="D501" s="4" t="s">
        <v>24</v>
      </c>
      <c r="E501" s="4" t="s">
        <v>14</v>
      </c>
      <c r="F501" s="4">
        <v>39</v>
      </c>
      <c r="G501" s="8">
        <v>50824</v>
      </c>
      <c r="H501" s="4">
        <v>18</v>
      </c>
      <c r="I501" s="4">
        <v>50</v>
      </c>
      <c r="J501" s="2" t="str">
        <f t="shared" si="14"/>
        <v>Low Cost</v>
      </c>
      <c r="K501" s="2" t="str">
        <f t="shared" si="15"/>
        <v>Adult</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0BCB-DBA9-4CBE-99CA-5A57700D6F9E}">
  <dimension ref="A3:E4"/>
  <sheetViews>
    <sheetView workbookViewId="0">
      <selection activeCell="B5" sqref="B5"/>
    </sheetView>
  </sheetViews>
  <sheetFormatPr defaultRowHeight="15" x14ac:dyDescent="0.25"/>
  <cols>
    <col min="1" max="1" width="14.140625" bestFit="1" customWidth="1"/>
    <col min="2" max="2" width="25" bestFit="1" customWidth="1"/>
    <col min="3" max="3" width="14.5703125" bestFit="1" customWidth="1"/>
    <col min="4" max="4" width="29" bestFit="1" customWidth="1"/>
    <col min="5" max="5" width="24.85546875" bestFit="1" customWidth="1"/>
  </cols>
  <sheetData>
    <row r="3" spans="1:5" x14ac:dyDescent="0.25">
      <c r="A3" t="s">
        <v>530</v>
      </c>
      <c r="B3" t="s">
        <v>531</v>
      </c>
      <c r="C3" t="s">
        <v>532</v>
      </c>
      <c r="D3" t="s">
        <v>533</v>
      </c>
      <c r="E3" t="s">
        <v>527</v>
      </c>
    </row>
    <row r="4" spans="1:5" x14ac:dyDescent="0.25">
      <c r="A4" s="9">
        <v>500</v>
      </c>
      <c r="B4" s="5">
        <v>105285.742</v>
      </c>
      <c r="C4" s="5">
        <v>44.514000000000003</v>
      </c>
      <c r="D4" s="5">
        <v>15.602</v>
      </c>
      <c r="E4" s="5">
        <v>73.308000000000007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12AE4-8CA7-4FC5-89F0-0A9AD06E2480}">
  <dimension ref="A1:E24"/>
  <sheetViews>
    <sheetView zoomScaleNormal="100" workbookViewId="0">
      <selection activeCell="E17" sqref="E17"/>
    </sheetView>
  </sheetViews>
  <sheetFormatPr defaultRowHeight="15" x14ac:dyDescent="0.25"/>
  <cols>
    <col min="1" max="1" width="11.85546875" bestFit="1" customWidth="1"/>
    <col min="2" max="2" width="24.28515625" customWidth="1"/>
    <col min="3" max="3" width="14" customWidth="1"/>
    <col min="4" max="4" width="12.85546875" bestFit="1" customWidth="1"/>
    <col min="5" max="5" width="18.42578125" bestFit="1" customWidth="1"/>
  </cols>
  <sheetData>
    <row r="1" spans="1:5" x14ac:dyDescent="0.25">
      <c r="A1" t="s">
        <v>550</v>
      </c>
      <c r="D1" t="s">
        <v>553</v>
      </c>
    </row>
    <row r="2" spans="1:5" x14ac:dyDescent="0.25">
      <c r="B2" t="s">
        <v>527</v>
      </c>
      <c r="E2" t="s">
        <v>529</v>
      </c>
    </row>
    <row r="3" spans="1:5" x14ac:dyDescent="0.25">
      <c r="A3" s="6" t="s">
        <v>14</v>
      </c>
      <c r="B3" s="5">
        <v>72.872509960159363</v>
      </c>
      <c r="D3" s="6" t="s">
        <v>24</v>
      </c>
      <c r="E3" s="5">
        <v>74.128440366972484</v>
      </c>
    </row>
    <row r="4" spans="1:5" x14ac:dyDescent="0.25">
      <c r="A4" s="6" t="s">
        <v>9</v>
      </c>
      <c r="B4" s="5">
        <v>73.854166666666671</v>
      </c>
      <c r="D4" s="6" t="s">
        <v>16</v>
      </c>
      <c r="E4" s="5">
        <v>74.617977528089881</v>
      </c>
    </row>
    <row r="5" spans="1:5" x14ac:dyDescent="0.25">
      <c r="A5" s="6" t="s">
        <v>41</v>
      </c>
      <c r="B5" s="5">
        <v>70.888888888888886</v>
      </c>
      <c r="D5" s="6" t="s">
        <v>18</v>
      </c>
      <c r="E5" s="5">
        <v>72.475247524752476</v>
      </c>
    </row>
    <row r="6" spans="1:5" x14ac:dyDescent="0.25">
      <c r="A6" s="6" t="s">
        <v>528</v>
      </c>
      <c r="B6" s="5">
        <v>73.308000000000007</v>
      </c>
      <c r="D6" s="6" t="s">
        <v>11</v>
      </c>
      <c r="E6" s="5">
        <v>72.458333333333329</v>
      </c>
    </row>
    <row r="7" spans="1:5" x14ac:dyDescent="0.25">
      <c r="D7" s="6" t="s">
        <v>31</v>
      </c>
      <c r="E7" s="5">
        <v>72.923809523809524</v>
      </c>
    </row>
    <row r="8" spans="1:5" x14ac:dyDescent="0.25">
      <c r="A8" t="s">
        <v>551</v>
      </c>
      <c r="D8" s="6" t="s">
        <v>528</v>
      </c>
      <c r="E8" s="5">
        <v>73.308000000000007</v>
      </c>
    </row>
    <row r="9" spans="1:5" x14ac:dyDescent="0.25">
      <c r="B9" t="s">
        <v>529</v>
      </c>
    </row>
    <row r="10" spans="1:5" x14ac:dyDescent="0.25">
      <c r="A10" s="6" t="s">
        <v>12</v>
      </c>
      <c r="B10" s="5">
        <v>72.057142857142864</v>
      </c>
    </row>
    <row r="11" spans="1:5" x14ac:dyDescent="0.25">
      <c r="A11" s="6" t="s">
        <v>27</v>
      </c>
      <c r="B11" s="5">
        <v>73.297520661157023</v>
      </c>
    </row>
    <row r="12" spans="1:5" x14ac:dyDescent="0.25">
      <c r="A12" s="6" t="s">
        <v>32</v>
      </c>
      <c r="B12" s="5">
        <v>74.540740740740745</v>
      </c>
    </row>
    <row r="13" spans="1:5" x14ac:dyDescent="0.25">
      <c r="A13" s="6" t="s">
        <v>19</v>
      </c>
      <c r="B13" s="5">
        <v>73.064748201438846</v>
      </c>
    </row>
    <row r="14" spans="1:5" x14ac:dyDescent="0.25">
      <c r="A14" s="6" t="s">
        <v>528</v>
      </c>
      <c r="B14" s="5">
        <v>73.308000000000007</v>
      </c>
    </row>
    <row r="16" spans="1:5" x14ac:dyDescent="0.25">
      <c r="A16" t="s">
        <v>552</v>
      </c>
    </row>
    <row r="17" spans="1:2" x14ac:dyDescent="0.25">
      <c r="B17" t="s">
        <v>529</v>
      </c>
    </row>
    <row r="18" spans="1:2" x14ac:dyDescent="0.25">
      <c r="A18" s="6" t="s">
        <v>21</v>
      </c>
      <c r="B18" s="5">
        <v>75.658227848101262</v>
      </c>
    </row>
    <row r="19" spans="1:2" x14ac:dyDescent="0.25">
      <c r="A19" s="6" t="s">
        <v>15</v>
      </c>
      <c r="B19" s="5">
        <v>71.518518518518519</v>
      </c>
    </row>
    <row r="20" spans="1:2" x14ac:dyDescent="0.25">
      <c r="A20" s="6" t="s">
        <v>10</v>
      </c>
      <c r="B20" s="5">
        <v>72.202380952380949</v>
      </c>
    </row>
    <row r="21" spans="1:2" x14ac:dyDescent="0.25">
      <c r="A21" s="6" t="s">
        <v>36</v>
      </c>
      <c r="B21" s="5">
        <v>74.361111111111114</v>
      </c>
    </row>
    <row r="22" spans="1:2" x14ac:dyDescent="0.25">
      <c r="A22" s="6" t="s">
        <v>26</v>
      </c>
      <c r="B22" s="5">
        <v>74.021052631578954</v>
      </c>
    </row>
    <row r="23" spans="1:2" x14ac:dyDescent="0.25">
      <c r="A23" s="6" t="s">
        <v>23</v>
      </c>
      <c r="B23" s="5">
        <v>72.280898876404493</v>
      </c>
    </row>
    <row r="24" spans="1:2" x14ac:dyDescent="0.25">
      <c r="A24" s="6" t="s">
        <v>528</v>
      </c>
      <c r="B24" s="5">
        <v>73.308000000000007</v>
      </c>
    </row>
  </sheetData>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82682-C687-4812-8A4F-89112EE07AC7}">
  <dimension ref="A3:B6"/>
  <sheetViews>
    <sheetView workbookViewId="0">
      <selection activeCell="L21" sqref="L21"/>
    </sheetView>
  </sheetViews>
  <sheetFormatPr defaultRowHeight="15" x14ac:dyDescent="0.25"/>
  <cols>
    <col min="1" max="1" width="13.140625" bestFit="1" customWidth="1"/>
    <col min="2" max="2" width="24.85546875" bestFit="1" customWidth="1"/>
  </cols>
  <sheetData>
    <row r="3" spans="1:2" x14ac:dyDescent="0.25">
      <c r="A3" s="7" t="s">
        <v>535</v>
      </c>
      <c r="B3" t="s">
        <v>527</v>
      </c>
    </row>
    <row r="4" spans="1:2" x14ac:dyDescent="0.25">
      <c r="A4" s="6" t="s">
        <v>536</v>
      </c>
      <c r="B4" s="5">
        <v>72.592592592592595</v>
      </c>
    </row>
    <row r="5" spans="1:2" x14ac:dyDescent="0.25">
      <c r="A5" s="6" t="s">
        <v>537</v>
      </c>
      <c r="B5" s="5">
        <v>75.52459016393442</v>
      </c>
    </row>
    <row r="6" spans="1:2" x14ac:dyDescent="0.25">
      <c r="A6" s="6" t="s">
        <v>528</v>
      </c>
      <c r="B6" s="5">
        <v>73.308000000000007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8122-62E9-46B1-90B1-C4973F46B076}">
  <dimension ref="A3:J12"/>
  <sheetViews>
    <sheetView workbookViewId="0">
      <selection activeCell="H23" sqref="H23"/>
    </sheetView>
  </sheetViews>
  <sheetFormatPr defaultRowHeight="15" x14ac:dyDescent="0.25"/>
  <cols>
    <col min="1" max="1" width="15" bestFit="1" customWidth="1"/>
    <col min="2" max="2" width="22.5703125" bestFit="1" customWidth="1"/>
    <col min="5" max="5" width="21.85546875" customWidth="1"/>
    <col min="6" max="6" width="9.140625" customWidth="1"/>
    <col min="7" max="7" width="16.5703125" bestFit="1" customWidth="1"/>
    <col min="8" max="8" width="22.5703125" bestFit="1" customWidth="1"/>
    <col min="9" max="9" width="21" bestFit="1" customWidth="1"/>
    <col min="10" max="10" width="23.85546875" bestFit="1" customWidth="1"/>
  </cols>
  <sheetData>
    <row r="3" spans="1:10" x14ac:dyDescent="0.25">
      <c r="A3" s="7" t="s">
        <v>535</v>
      </c>
      <c r="B3" t="s">
        <v>547</v>
      </c>
      <c r="D3" t="s">
        <v>535</v>
      </c>
      <c r="E3" t="s">
        <v>547</v>
      </c>
      <c r="H3" t="s">
        <v>547</v>
      </c>
      <c r="I3" t="s">
        <v>548</v>
      </c>
      <c r="J3" t="s">
        <v>549</v>
      </c>
    </row>
    <row r="4" spans="1:10" x14ac:dyDescent="0.25">
      <c r="A4" s="6" t="s">
        <v>539</v>
      </c>
      <c r="B4" s="5">
        <v>71.567010309278345</v>
      </c>
      <c r="D4" t="s">
        <v>539</v>
      </c>
      <c r="E4">
        <v>71.567010309278345</v>
      </c>
      <c r="G4" s="6" t="s">
        <v>21</v>
      </c>
      <c r="H4" s="5">
        <v>75.658227848101262</v>
      </c>
      <c r="I4" s="5">
        <v>50</v>
      </c>
      <c r="J4">
        <v>12.860081424902086</v>
      </c>
    </row>
    <row r="5" spans="1:10" x14ac:dyDescent="0.25">
      <c r="A5" s="6" t="s">
        <v>540</v>
      </c>
      <c r="B5" s="5">
        <v>75.387096774193552</v>
      </c>
      <c r="D5" t="s">
        <v>540</v>
      </c>
      <c r="E5">
        <v>75.387096774193552</v>
      </c>
      <c r="G5" s="6" t="s">
        <v>15</v>
      </c>
      <c r="H5" s="5">
        <v>71.518518518518519</v>
      </c>
      <c r="I5" s="5">
        <v>50</v>
      </c>
      <c r="J5">
        <v>13.299540510024325</v>
      </c>
    </row>
    <row r="6" spans="1:10" x14ac:dyDescent="0.25">
      <c r="A6" s="6" t="s">
        <v>541</v>
      </c>
      <c r="B6" s="5">
        <v>72.457142857142856</v>
      </c>
      <c r="D6" t="s">
        <v>541</v>
      </c>
      <c r="E6">
        <v>72.457142857142856</v>
      </c>
      <c r="G6" s="6" t="s">
        <v>10</v>
      </c>
      <c r="H6" s="5">
        <v>72.202380952380949</v>
      </c>
      <c r="I6" s="5">
        <v>50</v>
      </c>
      <c r="J6">
        <v>13.527107779018213</v>
      </c>
    </row>
    <row r="7" spans="1:10" x14ac:dyDescent="0.25">
      <c r="A7" s="6" t="s">
        <v>542</v>
      </c>
      <c r="B7" s="5">
        <v>74.142857142857139</v>
      </c>
      <c r="D7" t="s">
        <v>542</v>
      </c>
      <c r="E7">
        <v>74.142857142857139</v>
      </c>
      <c r="G7" s="6" t="s">
        <v>36</v>
      </c>
      <c r="H7" s="5">
        <v>74.361111111111114</v>
      </c>
      <c r="I7" s="5">
        <v>50</v>
      </c>
      <c r="J7">
        <v>13.594018522611863</v>
      </c>
    </row>
    <row r="8" spans="1:10" x14ac:dyDescent="0.25">
      <c r="A8" s="6" t="s">
        <v>543</v>
      </c>
      <c r="B8" s="5">
        <v>73.294736842105266</v>
      </c>
      <c r="D8" t="s">
        <v>543</v>
      </c>
      <c r="E8">
        <v>73.294736842105266</v>
      </c>
      <c r="G8" s="6" t="s">
        <v>26</v>
      </c>
      <c r="H8" s="5">
        <v>74.021052631578954</v>
      </c>
      <c r="I8" s="5">
        <v>50</v>
      </c>
      <c r="J8">
        <v>12.86507638413161</v>
      </c>
    </row>
    <row r="9" spans="1:10" x14ac:dyDescent="0.25">
      <c r="A9" s="6" t="s">
        <v>544</v>
      </c>
      <c r="B9" s="5">
        <v>71.875</v>
      </c>
      <c r="D9" t="s">
        <v>544</v>
      </c>
      <c r="E9">
        <v>71.875</v>
      </c>
      <c r="G9" s="6" t="s">
        <v>23</v>
      </c>
      <c r="H9" s="5">
        <v>72.280898876404493</v>
      </c>
      <c r="I9" s="5">
        <v>50</v>
      </c>
      <c r="J9">
        <v>13.804634238384114</v>
      </c>
    </row>
    <row r="10" spans="1:10" x14ac:dyDescent="0.25">
      <c r="A10" s="6" t="s">
        <v>545</v>
      </c>
      <c r="B10" s="5">
        <v>79.628571428571433</v>
      </c>
      <c r="D10" t="s">
        <v>545</v>
      </c>
      <c r="E10">
        <v>79.628571428571433</v>
      </c>
      <c r="G10" s="6" t="s">
        <v>528</v>
      </c>
      <c r="H10" s="5">
        <v>73.308000000000007</v>
      </c>
      <c r="I10" s="5">
        <v>50</v>
      </c>
      <c r="J10">
        <v>13.332991912796368</v>
      </c>
    </row>
    <row r="11" spans="1:10" x14ac:dyDescent="0.25">
      <c r="A11" s="6" t="s">
        <v>546</v>
      </c>
      <c r="B11" s="5">
        <v>74.142857142857139</v>
      </c>
      <c r="D11" t="s">
        <v>546</v>
      </c>
      <c r="E11">
        <v>74.142857142857139</v>
      </c>
    </row>
    <row r="12" spans="1:10" x14ac:dyDescent="0.25">
      <c r="A12" s="6" t="s">
        <v>528</v>
      </c>
      <c r="B12" s="5">
        <v>73.308000000000007</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Patient_Data</vt:lpstr>
      <vt:lpstr>KPI_Summary</vt:lpstr>
      <vt:lpstr>Summary_Breakdown</vt:lpstr>
      <vt:lpstr>PivotChart_CostCategory</vt:lpstr>
      <vt:lpstr>PivotChart_AgeDept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Ashima Pradhan</cp:lastModifiedBy>
  <dcterms:created xsi:type="dcterms:W3CDTF">2026-07-04T10:39:22Z</dcterms:created>
  <dcterms:modified xsi:type="dcterms:W3CDTF">2026-07-07T21:55:14Z</dcterms:modified>
</cp:coreProperties>
</file>